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ies\1.University of Cyprus\1.Undergraduate in Computer Science\3ο Εξάμηνο\(10) - ΕΠΛ231 - Δομές Δεδομένων και Αλγόριθμοι\5.Προγραμματιστικές Εργασίες\3.Homework 3 - Trie\My_Homework3\Report\"/>
    </mc:Choice>
  </mc:AlternateContent>
  <xr:revisionPtr revIDLastSave="0" documentId="13_ncr:1_{EC756CA6-D2B6-433E-8F91-5D23638709B6}" xr6:coauthVersionLast="47" xr6:coauthVersionMax="47" xr10:uidLastSave="{00000000-0000-0000-0000-000000000000}"/>
  <bookViews>
    <workbookView xWindow="-110" yWindow="-110" windowWidth="25820" windowHeight="15500" xr2:uid="{268453F5-959B-4892-906A-205BE9E0452B}"/>
  </bookViews>
  <sheets>
    <sheet name="Same Length" sheetId="1" r:id="rId1"/>
    <sheet name="Percentag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" i="4" l="1"/>
  <c r="AG11" i="4"/>
  <c r="AG12" i="4"/>
  <c r="AG13" i="4"/>
  <c r="AG9" i="4"/>
  <c r="AB10" i="4"/>
  <c r="AB11" i="4"/>
  <c r="AB12" i="4"/>
  <c r="AB13" i="4"/>
  <c r="AB9" i="4"/>
  <c r="AB6" i="4"/>
  <c r="AG3" i="4"/>
  <c r="AG4" i="4"/>
  <c r="AG5" i="4"/>
  <c r="AG6" i="4"/>
  <c r="AG2" i="4"/>
  <c r="AB3" i="4"/>
  <c r="AB4" i="4"/>
  <c r="AB5" i="4"/>
  <c r="AB2" i="4"/>
</calcChain>
</file>

<file path=xl/sharedStrings.xml><?xml version="1.0" encoding="utf-8"?>
<sst xmlns="http://schemas.openxmlformats.org/spreadsheetml/2006/main" count="671" uniqueCount="322">
  <si>
    <t>Static Trie</t>
  </si>
  <si>
    <t>File Size</t>
  </si>
  <si>
    <t>Size Words</t>
  </si>
  <si>
    <t>Number of Nodes</t>
  </si>
  <si>
    <t>Memory allocated</t>
  </si>
  <si>
    <t>56 992</t>
  </si>
  <si>
    <t>1 000</t>
  </si>
  <si>
    <t>5 000</t>
  </si>
  <si>
    <t>10 000</t>
  </si>
  <si>
    <t>100 000</t>
  </si>
  <si>
    <t>500 000</t>
  </si>
  <si>
    <t>3 516</t>
  </si>
  <si>
    <t>365 664</t>
  </si>
  <si>
    <t>7 510</t>
  </si>
  <si>
    <t>781 040</t>
  </si>
  <si>
    <t>13 511</t>
  </si>
  <si>
    <t>1 405 144</t>
  </si>
  <si>
    <t>23 519</t>
  </si>
  <si>
    <t>2 445 976</t>
  </si>
  <si>
    <t>72 696</t>
  </si>
  <si>
    <t>15 008</t>
  </si>
  <si>
    <t>1 560 832</t>
  </si>
  <si>
    <t>35 033</t>
  </si>
  <si>
    <t>3 643 432</t>
  </si>
  <si>
    <t>65 048</t>
  </si>
  <si>
    <t>6 764 992</t>
  </si>
  <si>
    <t>115 010</t>
  </si>
  <si>
    <t>11 961 040</t>
  </si>
  <si>
    <t>73 008</t>
  </si>
  <si>
    <t>28 216</t>
  </si>
  <si>
    <t>2 934 464</t>
  </si>
  <si>
    <t>68 203</t>
  </si>
  <si>
    <t>7 093 112</t>
  </si>
  <si>
    <t>128 290</t>
  </si>
  <si>
    <t>13 342 160</t>
  </si>
  <si>
    <t>228 222</t>
  </si>
  <si>
    <t>23 735 088</t>
  </si>
  <si>
    <t>207 709</t>
  </si>
  <si>
    <t>21 601 736</t>
  </si>
  <si>
    <t>607 609</t>
  </si>
  <si>
    <t>63 191 336</t>
  </si>
  <si>
    <t>1 207 426</t>
  </si>
  <si>
    <t>125 572 304</t>
  </si>
  <si>
    <t>2 207 726</t>
  </si>
  <si>
    <t>229 603 504</t>
  </si>
  <si>
    <t>811 710</t>
  </si>
  <si>
    <t>84 417 840</t>
  </si>
  <si>
    <t>2 811 357</t>
  </si>
  <si>
    <t>292 381 128</t>
  </si>
  <si>
    <t>5 811 654</t>
  </si>
  <si>
    <t>604 412 016</t>
  </si>
  <si>
    <t>10 811 917</t>
  </si>
  <si>
    <t>1 124 439 368</t>
  </si>
  <si>
    <t>Robin Hood Trie</t>
  </si>
  <si>
    <t>33 440</t>
  </si>
  <si>
    <t>3 513</t>
  </si>
  <si>
    <t>188 404</t>
  </si>
  <si>
    <t>396 136</t>
  </si>
  <si>
    <t>13 510</t>
  </si>
  <si>
    <t>708 120</t>
  </si>
  <si>
    <t>23 516</t>
  </si>
  <si>
    <t>1 228 240</t>
  </si>
  <si>
    <t>41 532</t>
  </si>
  <si>
    <t>15 003</t>
  </si>
  <si>
    <t>814 652</t>
  </si>
  <si>
    <t>35 027</t>
  </si>
  <si>
    <t>1 855 788</t>
  </si>
  <si>
    <t>65 034</t>
  </si>
  <si>
    <t>3 417 304</t>
  </si>
  <si>
    <t>115 009</t>
  </si>
  <si>
    <t>6 015 572</t>
  </si>
  <si>
    <t>41 688</t>
  </si>
  <si>
    <t>28 201</t>
  </si>
  <si>
    <t>1 537 476</t>
  </si>
  <si>
    <t>68 176</t>
  </si>
  <si>
    <t>3 616 064</t>
  </si>
  <si>
    <t>128 258</t>
  </si>
  <si>
    <t>6 740 264</t>
  </si>
  <si>
    <t>228 197</t>
  </si>
  <si>
    <t>11 937 460</t>
  </si>
  <si>
    <t>207 596</t>
  </si>
  <si>
    <t>11 460 096</t>
  </si>
  <si>
    <t>607 466</t>
  </si>
  <si>
    <t>32 251 704</t>
  </si>
  <si>
    <t>1 207 298</t>
  </si>
  <si>
    <t>63 440 856</t>
  </si>
  <si>
    <t>2 207 595</t>
  </si>
  <si>
    <t>115 460 508</t>
  </si>
  <si>
    <t>810 356</t>
  </si>
  <si>
    <t>45 058 544</t>
  </si>
  <si>
    <t>2 809 979</t>
  </si>
  <si>
    <t>149 044 860</t>
  </si>
  <si>
    <t>5 810 398</t>
  </si>
  <si>
    <t>305 064 008</t>
  </si>
  <si>
    <t>10 810 583</t>
  </si>
  <si>
    <t>565 078 428</t>
  </si>
  <si>
    <t>l7510</t>
  </si>
  <si>
    <t>Robin</t>
  </si>
  <si>
    <t>Static</t>
  </si>
  <si>
    <t>Num Nodes</t>
  </si>
  <si>
    <t>Memory</t>
  </si>
  <si>
    <t>Nodes</t>
  </si>
  <si>
    <r>
      <rPr>
        <b/>
        <u/>
        <sz val="24"/>
        <color theme="5"/>
        <rFont val="Aptos Narrow"/>
        <family val="2"/>
        <scheme val="minor"/>
      </rPr>
      <t>Second Run</t>
    </r>
    <r>
      <rPr>
        <b/>
        <sz val="24"/>
        <color rgb="FFFFFF00"/>
        <rFont val="Aptos Narrow"/>
        <family val="2"/>
        <scheme val="minor"/>
      </rPr>
      <t xml:space="preserve"> </t>
    </r>
    <r>
      <rPr>
        <b/>
        <u/>
        <sz val="24"/>
        <color rgb="FFFFFF00"/>
        <rFont val="Aptos Narrow"/>
        <family val="2"/>
        <scheme val="minor"/>
      </rPr>
      <t>The same length: All the words in the dictionary-trie have the same length.</t>
    </r>
  </si>
  <si>
    <t>56 888</t>
  </si>
  <si>
    <t>33 388</t>
  </si>
  <si>
    <t>188 244</t>
  </si>
  <si>
    <t>7 524</t>
  </si>
  <si>
    <t>782 496</t>
  </si>
  <si>
    <t>396 656</t>
  </si>
  <si>
    <t>13 521</t>
  </si>
  <si>
    <t>1 406 184</t>
  </si>
  <si>
    <t>13 518</t>
  </si>
  <si>
    <t>708 392</t>
  </si>
  <si>
    <t>23 532</t>
  </si>
  <si>
    <t>2 447 328</t>
  </si>
  <si>
    <t>23 531</t>
  </si>
  <si>
    <t>1 229 484</t>
  </si>
  <si>
    <t>72 904</t>
  </si>
  <si>
    <t>41 636</t>
  </si>
  <si>
    <t>15 024</t>
  </si>
  <si>
    <t>1 562 496</t>
  </si>
  <si>
    <t>15 015</t>
  </si>
  <si>
    <t>815 292</t>
  </si>
  <si>
    <t>35 031</t>
  </si>
  <si>
    <t>1 856 364</t>
  </si>
  <si>
    <t>65 023</t>
  </si>
  <si>
    <t>6 762 392</t>
  </si>
  <si>
    <t>65 022</t>
  </si>
  <si>
    <t>3 416 664</t>
  </si>
  <si>
    <t>115 011</t>
  </si>
  <si>
    <t>11 961 144</t>
  </si>
  <si>
    <t>115 006</t>
  </si>
  <si>
    <t>6 015 512</t>
  </si>
  <si>
    <t>28 261</t>
  </si>
  <si>
    <t>2 939 144</t>
  </si>
  <si>
    <t>28 245</t>
  </si>
  <si>
    <t>1 540 020</t>
  </si>
  <si>
    <t>68 233</t>
  </si>
  <si>
    <t>7 096 232</t>
  </si>
  <si>
    <t>68 210</t>
  </si>
  <si>
    <t>3 618 040</t>
  </si>
  <si>
    <t>128 184</t>
  </si>
  <si>
    <t>13 331 136</t>
  </si>
  <si>
    <t>128 166</t>
  </si>
  <si>
    <t>6 735 032</t>
  </si>
  <si>
    <t>228 228</t>
  </si>
  <si>
    <t>23 735 712</t>
  </si>
  <si>
    <t>228 213</t>
  </si>
  <si>
    <t>11 937 508</t>
  </si>
  <si>
    <t>207 650</t>
  </si>
  <si>
    <t>21 595 600</t>
  </si>
  <si>
    <t>207 540</t>
  </si>
  <si>
    <t>11 456 256</t>
  </si>
  <si>
    <t>607 698</t>
  </si>
  <si>
    <t>63 200 592</t>
  </si>
  <si>
    <t>607 596</t>
  </si>
  <si>
    <t>32 261 056</t>
  </si>
  <si>
    <t>1 207 370</t>
  </si>
  <si>
    <t>125 566 480</t>
  </si>
  <si>
    <t>1 207 270</t>
  </si>
  <si>
    <t>63 439 704</t>
  </si>
  <si>
    <t>2 207 698</t>
  </si>
  <si>
    <t>229 600 592</t>
  </si>
  <si>
    <t>2 207 577</t>
  </si>
  <si>
    <t>115 456 292</t>
  </si>
  <si>
    <t>812 301</t>
  </si>
  <si>
    <t>84 479 304</t>
  </si>
  <si>
    <t>810 911</t>
  </si>
  <si>
    <t>45 092 988</t>
  </si>
  <si>
    <t>2 811 561</t>
  </si>
  <si>
    <t>292 402 344</t>
  </si>
  <si>
    <t>2 810 221</t>
  </si>
  <si>
    <t>149 058 068</t>
  </si>
  <si>
    <t>5 811 493</t>
  </si>
  <si>
    <t>604 395 272</t>
  </si>
  <si>
    <t>5 810 095</t>
  </si>
  <si>
    <t>305 051 580</t>
  </si>
  <si>
    <t>10 811 826</t>
  </si>
  <si>
    <t>1 124 429 904</t>
  </si>
  <si>
    <t>10 810 440</t>
  </si>
  <si>
    <t>565 071 952</t>
  </si>
  <si>
    <r>
      <rPr>
        <b/>
        <u/>
        <sz val="24"/>
        <color rgb="FFFF0000"/>
        <rFont val="Aptos Narrow"/>
        <family val="2"/>
        <scheme val="minor"/>
      </rPr>
      <t>First Run</t>
    </r>
    <r>
      <rPr>
        <b/>
        <sz val="24"/>
        <color rgb="FFFFC000"/>
        <rFont val="Aptos Narrow"/>
        <family val="2"/>
        <scheme val="minor"/>
      </rPr>
      <t xml:space="preserve"> </t>
    </r>
    <r>
      <rPr>
        <b/>
        <u/>
        <sz val="24"/>
        <color rgb="FFFFC000"/>
        <rFont val="Aptos Narrow"/>
        <family val="2"/>
        <scheme val="minor"/>
      </rPr>
      <t>Percentage</t>
    </r>
  </si>
  <si>
    <t>7 888</t>
  </si>
  <si>
    <t>820 352</t>
  </si>
  <si>
    <t>7 884</t>
  </si>
  <si>
    <t>415 376</t>
  </si>
  <si>
    <t>37 054</t>
  </si>
  <si>
    <t>3 853 616</t>
  </si>
  <si>
    <t>37 046</t>
  </si>
  <si>
    <t>1 960 680</t>
  </si>
  <si>
    <t>72 632</t>
  </si>
  <si>
    <t>7 553 728</t>
  </si>
  <si>
    <t>72 599</t>
  </si>
  <si>
    <t>3 846 876</t>
  </si>
  <si>
    <t>655 282</t>
  </si>
  <si>
    <t>68 149 328</t>
  </si>
  <si>
    <t>655 183</t>
  </si>
  <si>
    <t>34 725 900</t>
  </si>
  <si>
    <t>3 054 122</t>
  </si>
  <si>
    <t>317 628 688</t>
  </si>
  <si>
    <t>3 052 844</t>
  </si>
  <si>
    <t>161 640 768</t>
  </si>
  <si>
    <r>
      <rPr>
        <b/>
        <u/>
        <sz val="24"/>
        <color rgb="FFFF0000"/>
        <rFont val="Aptos Narrow"/>
        <family val="2"/>
        <scheme val="minor"/>
      </rPr>
      <t>Second Run</t>
    </r>
    <r>
      <rPr>
        <b/>
        <sz val="24"/>
        <color rgb="FFFFC000"/>
        <rFont val="Aptos Narrow"/>
        <family val="2"/>
        <scheme val="minor"/>
      </rPr>
      <t xml:space="preserve"> </t>
    </r>
    <r>
      <rPr>
        <b/>
        <u/>
        <sz val="24"/>
        <color rgb="FFFFC000"/>
        <rFont val="Aptos Narrow"/>
        <family val="2"/>
        <scheme val="minor"/>
      </rPr>
      <t>Percentage</t>
    </r>
  </si>
  <si>
    <t>8 127</t>
  </si>
  <si>
    <t>845 208</t>
  </si>
  <si>
    <t>428 396</t>
  </si>
  <si>
    <t>37 734</t>
  </si>
  <si>
    <t>3 924 336</t>
  </si>
  <si>
    <t>37 727</t>
  </si>
  <si>
    <t>1 997 500</t>
  </si>
  <si>
    <t>72 945</t>
  </si>
  <si>
    <t>7 586 280</t>
  </si>
  <si>
    <t>72 931</t>
  </si>
  <si>
    <t>3 864 236</t>
  </si>
  <si>
    <t>657 388</t>
  </si>
  <si>
    <t>68 368 352</t>
  </si>
  <si>
    <t>657 256</t>
  </si>
  <si>
    <t>34 835 408</t>
  </si>
  <si>
    <t>3 049 617</t>
  </si>
  <si>
    <t>317 160 168</t>
  </si>
  <si>
    <t>3 048 425</t>
  </si>
  <si>
    <t>161 416 996</t>
  </si>
  <si>
    <r>
      <rPr>
        <b/>
        <u/>
        <sz val="24"/>
        <color theme="5"/>
        <rFont val="Aptos Narrow"/>
        <family val="2"/>
        <scheme val="minor"/>
      </rPr>
      <t>First Run</t>
    </r>
    <r>
      <rPr>
        <b/>
        <sz val="24"/>
        <color rgb="FFFFFF00"/>
        <rFont val="Aptos Narrow"/>
        <family val="2"/>
        <scheme val="minor"/>
      </rPr>
      <t xml:space="preserve"> </t>
    </r>
    <r>
      <rPr>
        <b/>
        <u/>
        <sz val="24"/>
        <color rgb="FFFFFF00"/>
        <rFont val="Aptos Narrow"/>
        <family val="2"/>
        <scheme val="minor"/>
      </rPr>
      <t>The same length: All the words in the dictionary-trie have the same length.</t>
    </r>
  </si>
  <si>
    <r>
      <rPr>
        <b/>
        <u/>
        <sz val="24"/>
        <color rgb="FFFF0000"/>
        <rFont val="Aptos Narrow"/>
        <family val="2"/>
        <scheme val="minor"/>
      </rPr>
      <t>Averege</t>
    </r>
    <r>
      <rPr>
        <b/>
        <sz val="24"/>
        <color rgb="FFFFC000"/>
        <rFont val="Aptos Narrow"/>
        <family val="2"/>
        <scheme val="minor"/>
      </rPr>
      <t xml:space="preserve"> </t>
    </r>
    <r>
      <rPr>
        <b/>
        <u/>
        <sz val="24"/>
        <color rgb="FFFFC000"/>
        <rFont val="Aptos Narrow"/>
        <family val="2"/>
        <scheme val="minor"/>
      </rPr>
      <t>Percentage</t>
    </r>
  </si>
  <si>
    <t>8 007.5</t>
  </si>
  <si>
    <t>37 394</t>
  </si>
  <si>
    <t>72 789</t>
  </si>
  <si>
    <t>656 335</t>
  </si>
  <si>
    <t>3 051 869.5</t>
  </si>
  <si>
    <t>8 005.5</t>
  </si>
  <si>
    <t>37 386.5</t>
  </si>
  <si>
    <t>72 765</t>
  </si>
  <si>
    <t>3 050 634.5</t>
  </si>
  <si>
    <t>832 780</t>
  </si>
  <si>
    <t>3 888 976</t>
  </si>
  <si>
    <t>7 570 004</t>
  </si>
  <si>
    <t>68 258 840</t>
  </si>
  <si>
    <t>317 394 428</t>
  </si>
  <si>
    <t>421 886</t>
  </si>
  <si>
    <t>1 979 090</t>
  </si>
  <si>
    <t>3 855 556</t>
  </si>
  <si>
    <t>34 780 654</t>
  </si>
  <si>
    <t>161 538 882</t>
  </si>
  <si>
    <r>
      <rPr>
        <b/>
        <u/>
        <sz val="24"/>
        <color theme="5"/>
        <rFont val="Aptos Narrow"/>
        <family val="2"/>
        <scheme val="minor"/>
      </rPr>
      <t>Average</t>
    </r>
    <r>
      <rPr>
        <b/>
        <sz val="24"/>
        <color rgb="FFFFFF00"/>
        <rFont val="Aptos Narrow"/>
        <family val="2"/>
        <scheme val="minor"/>
      </rPr>
      <t xml:space="preserve"> </t>
    </r>
    <r>
      <rPr>
        <b/>
        <u/>
        <sz val="24"/>
        <color rgb="FFFFFF00"/>
        <rFont val="Aptos Narrow"/>
        <family val="2"/>
        <scheme val="minor"/>
      </rPr>
      <t>The same length: All the words in the dictionary-trie have the same length.</t>
    </r>
  </si>
  <si>
    <t>7 517</t>
  </si>
  <si>
    <t>13 514</t>
  </si>
  <si>
    <t>15 009</t>
  </si>
  <si>
    <t>35 029</t>
  </si>
  <si>
    <t>65 028</t>
  </si>
  <si>
    <t>115 007.5</t>
  </si>
  <si>
    <t>28 223</t>
  </si>
  <si>
    <t>68 193</t>
  </si>
  <si>
    <t>128 212</t>
  </si>
  <si>
    <t>228 205</t>
  </si>
  <si>
    <t>207 568</t>
  </si>
  <si>
    <t>607 531</t>
  </si>
  <si>
    <t>1 207 284</t>
  </si>
  <si>
    <t>2 207 586</t>
  </si>
  <si>
    <t>810 633.5</t>
  </si>
  <si>
    <t>2 810 100</t>
  </si>
  <si>
    <t>5 810 246.5</t>
  </si>
  <si>
    <t>10 810 512</t>
  </si>
  <si>
    <t>33 414</t>
  </si>
  <si>
    <t>188 324</t>
  </si>
  <si>
    <t>396 396</t>
  </si>
  <si>
    <t>708 256</t>
  </si>
  <si>
    <t>1 228 862</t>
  </si>
  <si>
    <t>41 584</t>
  </si>
  <si>
    <t>814 972</t>
  </si>
  <si>
    <t>1 856 076</t>
  </si>
  <si>
    <t>3 416 984</t>
  </si>
  <si>
    <t>6 015 542</t>
  </si>
  <si>
    <t>1 538 748</t>
  </si>
  <si>
    <t>3 617 052</t>
  </si>
  <si>
    <t>6 737 648</t>
  </si>
  <si>
    <t>11 937 484</t>
  </si>
  <si>
    <t>45 075 766</t>
  </si>
  <si>
    <t>149 051 464</t>
  </si>
  <si>
    <t>32 256 380</t>
  </si>
  <si>
    <t>11 458 176</t>
  </si>
  <si>
    <t>63 440 280</t>
  </si>
  <si>
    <t>115 458 400</t>
  </si>
  <si>
    <t>305 057 794</t>
  </si>
  <si>
    <t>565 075 190</t>
  </si>
  <si>
    <t>13 516</t>
  </si>
  <si>
    <t>23 525.5</t>
  </si>
  <si>
    <t>15 016</t>
  </si>
  <si>
    <t>65 035.5</t>
  </si>
  <si>
    <t>115 010.5</t>
  </si>
  <si>
    <t>28 238.5</t>
  </si>
  <si>
    <t>68 218</t>
  </si>
  <si>
    <t>128 237</t>
  </si>
  <si>
    <t>228 225</t>
  </si>
  <si>
    <t>207 679.5</t>
  </si>
  <si>
    <t>607 653.5</t>
  </si>
  <si>
    <t>1 207 398</t>
  </si>
  <si>
    <t>2 207 712</t>
  </si>
  <si>
    <t>812 005.5</t>
  </si>
  <si>
    <t>2 811 459</t>
  </si>
  <si>
    <t>5 811 573.5</t>
  </si>
  <si>
    <t>10 811 872</t>
  </si>
  <si>
    <t>56 940</t>
  </si>
  <si>
    <t>365 644</t>
  </si>
  <si>
    <t>781 768</t>
  </si>
  <si>
    <t>1 405 664</t>
  </si>
  <si>
    <t>2 446 652</t>
  </si>
  <si>
    <t>72 800</t>
  </si>
  <si>
    <t>1 561 664</t>
  </si>
  <si>
    <t>6 763 692</t>
  </si>
  <si>
    <t>11 961 092</t>
  </si>
  <si>
    <t>2 936 804</t>
  </si>
  <si>
    <t>7 094 672</t>
  </si>
  <si>
    <t>13 336 648</t>
  </si>
  <si>
    <t>23 735 400</t>
  </si>
  <si>
    <t>21 598 668</t>
  </si>
  <si>
    <t>63 195 964</t>
  </si>
  <si>
    <t>125 569 392</t>
  </si>
  <si>
    <t>229 602 048</t>
  </si>
  <si>
    <t>84 448 572</t>
  </si>
  <si>
    <t>292 391 736</t>
  </si>
  <si>
    <t>604 403 644</t>
  </si>
  <si>
    <t>1 124 434 636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</si>
</sst>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7030A0"/>
      <name val="Aptos Narrow"/>
      <family val="2"/>
      <scheme val="minor"/>
    </font>
    <font>
      <b/>
      <u/>
      <sz val="24"/>
      <color rgb="FFFFFF00"/>
      <name val="Aptos Narrow"/>
      <family val="2"/>
      <scheme val="minor"/>
    </font>
    <font>
      <b/>
      <u/>
      <sz val="24"/>
      <color theme="5"/>
      <name val="Aptos Narrow"/>
      <family val="2"/>
      <scheme val="minor"/>
    </font>
    <font>
      <b/>
      <sz val="24"/>
      <color rgb="FFFFFF00"/>
      <name val="Aptos Narrow"/>
      <family val="2"/>
      <scheme val="minor"/>
    </font>
    <font>
      <b/>
      <u/>
      <sz val="24"/>
      <color rgb="FFFFC000"/>
      <name val="Aptos Narrow"/>
      <family val="2"/>
      <scheme val="minor"/>
    </font>
    <font>
      <b/>
      <u/>
      <sz val="24"/>
      <color rgb="FFFF0000"/>
      <name val="Aptos Narrow"/>
      <family val="2"/>
      <scheme val="minor"/>
    </font>
    <font>
      <b/>
      <sz val="24"/>
      <color rgb="FFFFC000"/>
      <name val="Aptos Narrow"/>
      <family val="2"/>
      <scheme val="minor"/>
    </font>
    <font>
      <b/>
      <sz val="18"/>
      <color rgb="FF00B0F0"/>
      <name val="Aptos Narrow"/>
      <family val="2"/>
      <scheme val="minor"/>
    </font>
    <font>
      <b/>
      <sz val="1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10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Static</a:t>
            </a:r>
            <a:r>
              <a:rPr lang="en-US" b="1" i="1" baseline="0"/>
              <a:t> Trie 2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Length'!$F$48:$F$52</c:f>
              <c:numCache>
                <c:formatCode>General</c:formatCode>
                <c:ptCount val="5"/>
                <c:pt idx="0">
                  <c:v>56992</c:v>
                </c:pt>
                <c:pt idx="1">
                  <c:v>72696</c:v>
                </c:pt>
                <c:pt idx="2">
                  <c:v>73008</c:v>
                </c:pt>
                <c:pt idx="3">
                  <c:v>73008</c:v>
                </c:pt>
                <c:pt idx="4">
                  <c:v>73008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CA-4F06-84EE-808785F8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Length'!$E$48:$E$52</c:f>
              <c:numCache>
                <c:formatCode>General</c:formatCode>
                <c:ptCount val="5"/>
                <c:pt idx="0">
                  <c:v>548</c:v>
                </c:pt>
                <c:pt idx="1">
                  <c:v>699</c:v>
                </c:pt>
                <c:pt idx="2">
                  <c:v>702</c:v>
                </c:pt>
                <c:pt idx="3">
                  <c:v>702</c:v>
                </c:pt>
                <c:pt idx="4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CA-4F06-84EE-808785F8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Static Trie 5 Size Words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Length'!$Q$48:$Q$52</c:f>
              <c:numCache>
                <c:formatCode>General</c:formatCode>
                <c:ptCount val="5"/>
                <c:pt idx="0">
                  <c:v>365664</c:v>
                </c:pt>
                <c:pt idx="1">
                  <c:v>1560832</c:v>
                </c:pt>
                <c:pt idx="2">
                  <c:v>2934464</c:v>
                </c:pt>
                <c:pt idx="3">
                  <c:v>21601736</c:v>
                </c:pt>
                <c:pt idx="4">
                  <c:v>84417840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Memory</c:v>
                </c15:tx>
              </c15:filteredSeriesTitle>
            </c:ext>
            <c:ext xmlns:c16="http://schemas.microsoft.com/office/drawing/2014/chart" uri="{C3380CC4-5D6E-409C-BE32-E72D297353CC}">
              <c16:uniqueId val="{00000000-BBFF-402C-BD96-991087AC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Length'!$P$48:$P$52</c:f>
              <c:numCache>
                <c:formatCode>General</c:formatCode>
                <c:ptCount val="5"/>
                <c:pt idx="0">
                  <c:v>3516</c:v>
                </c:pt>
                <c:pt idx="1">
                  <c:v>15008</c:v>
                </c:pt>
                <c:pt idx="2">
                  <c:v>28216</c:v>
                </c:pt>
                <c:pt idx="3">
                  <c:v>207709</c:v>
                </c:pt>
                <c:pt idx="4">
                  <c:v>811710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Number of nodes</c:v>
                </c15:tx>
              </c15:filteredSeriesTitle>
            </c:ext>
            <c:ext xmlns:c16="http://schemas.microsoft.com/office/drawing/2014/chart" uri="{C3380CC4-5D6E-409C-BE32-E72D297353CC}">
              <c16:uniqueId val="{00000001-BBFF-402C-BD96-991087AC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Static</a:t>
            </a:r>
            <a:r>
              <a:rPr lang="en-US" b="1" i="1" baseline="0"/>
              <a:t> Trie 9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Length'!$F$64:$F$68</c:f>
              <c:numCache>
                <c:formatCode>General</c:formatCode>
                <c:ptCount val="5"/>
                <c:pt idx="0">
                  <c:v>781040</c:v>
                </c:pt>
                <c:pt idx="1">
                  <c:v>3643432</c:v>
                </c:pt>
                <c:pt idx="2">
                  <c:v>7093112</c:v>
                </c:pt>
                <c:pt idx="3">
                  <c:v>63191336</c:v>
                </c:pt>
                <c:pt idx="4">
                  <c:v>292381128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0-447B-9B7F-1267BBE5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Length'!$E$64:$E$68</c:f>
              <c:numCache>
                <c:formatCode>General</c:formatCode>
                <c:ptCount val="5"/>
                <c:pt idx="0">
                  <c:v>7510</c:v>
                </c:pt>
                <c:pt idx="1">
                  <c:v>35033</c:v>
                </c:pt>
                <c:pt idx="2">
                  <c:v>68048</c:v>
                </c:pt>
                <c:pt idx="3">
                  <c:v>607609</c:v>
                </c:pt>
                <c:pt idx="4">
                  <c:v>2811357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0-447B-9B7F-1267BBE5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Static</a:t>
            </a:r>
            <a:r>
              <a:rPr lang="en-US" b="1" i="1" baseline="0"/>
              <a:t> Trie 15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Length'!$F$64:$F$68</c:f>
              <c:numCache>
                <c:formatCode>General</c:formatCode>
                <c:ptCount val="5"/>
                <c:pt idx="0">
                  <c:v>781040</c:v>
                </c:pt>
                <c:pt idx="1">
                  <c:v>3643432</c:v>
                </c:pt>
                <c:pt idx="2">
                  <c:v>7093112</c:v>
                </c:pt>
                <c:pt idx="3">
                  <c:v>63191336</c:v>
                </c:pt>
                <c:pt idx="4">
                  <c:v>292381128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A-45DC-81B6-0C3EF830B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Length'!$E$64:$E$68</c:f>
              <c:numCache>
                <c:formatCode>General</c:formatCode>
                <c:ptCount val="5"/>
                <c:pt idx="0">
                  <c:v>7510</c:v>
                </c:pt>
                <c:pt idx="1">
                  <c:v>35033</c:v>
                </c:pt>
                <c:pt idx="2">
                  <c:v>68048</c:v>
                </c:pt>
                <c:pt idx="3">
                  <c:v>607609</c:v>
                </c:pt>
                <c:pt idx="4">
                  <c:v>2811357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A-45DC-81B6-0C3EF830B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Static</a:t>
            </a:r>
            <a:r>
              <a:rPr lang="en-US" b="1" i="1" baseline="0"/>
              <a:t> Trie 25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Length'!$F$81:$F$85</c:f>
              <c:numCache>
                <c:formatCode>General</c:formatCode>
                <c:ptCount val="5"/>
                <c:pt idx="0">
                  <c:v>2445976</c:v>
                </c:pt>
                <c:pt idx="1">
                  <c:v>11961040</c:v>
                </c:pt>
                <c:pt idx="2">
                  <c:v>23735088</c:v>
                </c:pt>
                <c:pt idx="3">
                  <c:v>229603504</c:v>
                </c:pt>
                <c:pt idx="4">
                  <c:v>124439368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F-43FE-9418-E05C4BAAA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Length'!$E$81:$E$85</c:f>
              <c:numCache>
                <c:formatCode>General</c:formatCode>
                <c:ptCount val="5"/>
                <c:pt idx="0">
                  <c:v>23519</c:v>
                </c:pt>
                <c:pt idx="1">
                  <c:v>115010</c:v>
                </c:pt>
                <c:pt idx="2">
                  <c:v>228222</c:v>
                </c:pt>
                <c:pt idx="3">
                  <c:v>2207726</c:v>
                </c:pt>
                <c:pt idx="4">
                  <c:v>10811317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F-43FE-9418-E05C4BAAA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Robin</a:t>
            </a:r>
            <a:r>
              <a:rPr lang="en-US" sz="11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Hood</a:t>
            </a:r>
            <a:r>
              <a:rPr lang="en-US" sz="11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b="1" i="1" baseline="0"/>
              <a:t> Trie 2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Length'!$W$46:$W$50</c:f>
              <c:numCache>
                <c:formatCode>General</c:formatCode>
                <c:ptCount val="5"/>
                <c:pt idx="0">
                  <c:v>33440</c:v>
                </c:pt>
                <c:pt idx="1">
                  <c:v>41532</c:v>
                </c:pt>
                <c:pt idx="2">
                  <c:v>41688</c:v>
                </c:pt>
                <c:pt idx="3">
                  <c:v>41688</c:v>
                </c:pt>
                <c:pt idx="4">
                  <c:v>41688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2-492F-A6FF-F05C8AD0A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Length'!$V$46:$V$50</c:f>
              <c:numCache>
                <c:formatCode>General</c:formatCode>
                <c:ptCount val="5"/>
                <c:pt idx="0">
                  <c:v>548</c:v>
                </c:pt>
                <c:pt idx="1">
                  <c:v>699</c:v>
                </c:pt>
                <c:pt idx="2">
                  <c:v>702</c:v>
                </c:pt>
                <c:pt idx="3">
                  <c:v>702</c:v>
                </c:pt>
                <c:pt idx="4">
                  <c:v>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2-492F-A6FF-F05C8AD0A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Robin Hood</a:t>
            </a:r>
            <a:r>
              <a:rPr lang="en-US" b="1" i="1" baseline="0"/>
              <a:t> Trie 5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Length'!$AA$46:$AA$50</c:f>
              <c:numCache>
                <c:formatCode>General</c:formatCode>
                <c:ptCount val="5"/>
                <c:pt idx="0">
                  <c:v>188404</c:v>
                </c:pt>
                <c:pt idx="1">
                  <c:v>814652</c:v>
                </c:pt>
                <c:pt idx="2">
                  <c:v>1537476</c:v>
                </c:pt>
                <c:pt idx="3">
                  <c:v>11460096</c:v>
                </c:pt>
                <c:pt idx="4">
                  <c:v>45058544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1-4C18-A621-783BDEB23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Length'!$Z$46:$Z$50</c:f>
              <c:numCache>
                <c:formatCode>General</c:formatCode>
                <c:ptCount val="5"/>
                <c:pt idx="0">
                  <c:v>3513</c:v>
                </c:pt>
                <c:pt idx="1">
                  <c:v>15003</c:v>
                </c:pt>
                <c:pt idx="2">
                  <c:v>28201</c:v>
                </c:pt>
                <c:pt idx="3">
                  <c:v>207596</c:v>
                </c:pt>
                <c:pt idx="4">
                  <c:v>810356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1-4C18-A621-783BDEB23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Robin</a:t>
            </a:r>
            <a:r>
              <a:rPr lang="en-US" sz="11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Hood</a:t>
            </a:r>
            <a:r>
              <a:rPr lang="en-US" sz="11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b="1" i="1" baseline="0"/>
              <a:t> Trie 9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Length'!$W$53:$W$57</c:f>
              <c:numCache>
                <c:formatCode>General</c:formatCode>
                <c:ptCount val="5"/>
                <c:pt idx="0">
                  <c:v>369136</c:v>
                </c:pt>
                <c:pt idx="1">
                  <c:v>1855788</c:v>
                </c:pt>
                <c:pt idx="2">
                  <c:v>3616064</c:v>
                </c:pt>
                <c:pt idx="3">
                  <c:v>32251704</c:v>
                </c:pt>
                <c:pt idx="4">
                  <c:v>139044860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5-46D7-A97D-34949854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Length'!$V$53:$V$57</c:f>
              <c:numCache>
                <c:formatCode>General</c:formatCode>
                <c:ptCount val="5"/>
                <c:pt idx="0">
                  <c:v>0</c:v>
                </c:pt>
                <c:pt idx="1">
                  <c:v>35027</c:v>
                </c:pt>
                <c:pt idx="2">
                  <c:v>68176</c:v>
                </c:pt>
                <c:pt idx="3">
                  <c:v>607466</c:v>
                </c:pt>
                <c:pt idx="4">
                  <c:v>2809979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5-46D7-A97D-34949854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none"/>
              <a:t>Robin Hood</a:t>
            </a:r>
            <a:r>
              <a:rPr lang="en-US" b="1" i="1" u="none" baseline="0"/>
              <a:t> Trie 15 Size Words</a:t>
            </a:r>
            <a:endParaRPr lang="en-US" b="1" i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Length'!$AA$53:$AA$57</c:f>
              <c:numCache>
                <c:formatCode>General</c:formatCode>
                <c:ptCount val="5"/>
                <c:pt idx="0">
                  <c:v>708120</c:v>
                </c:pt>
                <c:pt idx="1">
                  <c:v>3417304</c:v>
                </c:pt>
                <c:pt idx="2">
                  <c:v>6740264</c:v>
                </c:pt>
                <c:pt idx="3">
                  <c:v>63440856</c:v>
                </c:pt>
                <c:pt idx="4">
                  <c:v>305064008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4-406D-83CC-52D045591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Length'!$Z$53:$Z$57</c:f>
              <c:numCache>
                <c:formatCode>General</c:formatCode>
                <c:ptCount val="5"/>
                <c:pt idx="0">
                  <c:v>13510</c:v>
                </c:pt>
                <c:pt idx="1">
                  <c:v>65034</c:v>
                </c:pt>
                <c:pt idx="2">
                  <c:v>128258</c:v>
                </c:pt>
                <c:pt idx="3">
                  <c:v>1207298</c:v>
                </c:pt>
                <c:pt idx="4">
                  <c:v>5810398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4-406D-83CC-52D045591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Robin</a:t>
            </a:r>
            <a:r>
              <a:rPr lang="en-US" sz="11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Hood</a:t>
            </a:r>
            <a:r>
              <a:rPr lang="en-US" sz="11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b="1" i="1" baseline="0"/>
              <a:t> Trie 25 Size Words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Memory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Length'!$AC$46:$AC$50</c:f>
              <c:numCache>
                <c:formatCode>General</c:formatCode>
                <c:ptCount val="5"/>
                <c:pt idx="0">
                  <c:v>1228240</c:v>
                </c:pt>
                <c:pt idx="1">
                  <c:v>6015572</c:v>
                </c:pt>
                <c:pt idx="2">
                  <c:v>11937460</c:v>
                </c:pt>
                <c:pt idx="3">
                  <c:v>115460508</c:v>
                </c:pt>
                <c:pt idx="4">
                  <c:v>565078428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28-4429-86B0-524752881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26384"/>
        <c:axId val="56784704"/>
      </c:lineChart>
      <c:lineChart>
        <c:grouping val="standard"/>
        <c:varyColors val="0"/>
        <c:ser>
          <c:idx val="1"/>
          <c:order val="0"/>
          <c:tx>
            <c:v>Number of nodes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'Same Length'!$D$48:$D$52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cat>
          <c:val>
            <c:numRef>
              <c:f>'Same Length'!$AC$53:$AC$57</c:f>
              <c:numCache>
                <c:formatCode>General</c:formatCode>
                <c:ptCount val="5"/>
                <c:pt idx="0">
                  <c:v>23516</c:v>
                </c:pt>
                <c:pt idx="1">
                  <c:v>115009</c:v>
                </c:pt>
                <c:pt idx="2">
                  <c:v>228197</c:v>
                </c:pt>
                <c:pt idx="3">
                  <c:v>2207595</c:v>
                </c:pt>
                <c:pt idx="4">
                  <c:v>10810583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28-4429-86B0-524752881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4960"/>
        <c:axId val="119300160"/>
      </c:lineChart>
      <c:catAx>
        <c:axId val="624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56784704"/>
        <c:crosses val="autoZero"/>
        <c:auto val="1"/>
        <c:lblAlgn val="ctr"/>
        <c:lblOffset val="100"/>
        <c:noMultiLvlLbl val="0"/>
      </c:catAx>
      <c:valAx>
        <c:axId val="5678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62426384"/>
        <c:crosses val="autoZero"/>
        <c:crossBetween val="between"/>
      </c:valAx>
      <c:valAx>
        <c:axId val="1193001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119304960"/>
        <c:crosses val="max"/>
        <c:crossBetween val="between"/>
      </c:valAx>
      <c:catAx>
        <c:axId val="11930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30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</a:t>
            </a:r>
            <a:r>
              <a:rPr lang="en-US" b="1" i="1" baseline="0"/>
              <a:t> Prices - </a:t>
            </a:r>
            <a:r>
              <a:rPr lang="en-US" b="1" i="1"/>
              <a:t>File</a:t>
            </a:r>
            <a:r>
              <a:rPr lang="en-US" b="1" i="1" baseline="0"/>
              <a:t> size 1000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Memory robin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Length'!$G$96:$G$100</c:f>
              <c:numCache>
                <c:formatCode>General</c:formatCode>
                <c:ptCount val="5"/>
                <c:pt idx="0">
                  <c:v>33440</c:v>
                </c:pt>
                <c:pt idx="1">
                  <c:v>188404</c:v>
                </c:pt>
                <c:pt idx="2">
                  <c:v>396136</c:v>
                </c:pt>
                <c:pt idx="3">
                  <c:v>708120</c:v>
                </c:pt>
                <c:pt idx="4">
                  <c:v>1228240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0-490C-A2D1-3B9E7845F187}"/>
            </c:ext>
          </c:extLst>
        </c:ser>
        <c:ser>
          <c:idx val="1"/>
          <c:order val="1"/>
          <c:tx>
            <c:v>Memory static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Length'!$J$96:$J$100</c:f>
              <c:numCache>
                <c:formatCode>General</c:formatCode>
                <c:ptCount val="5"/>
                <c:pt idx="0">
                  <c:v>56992</c:v>
                </c:pt>
                <c:pt idx="1">
                  <c:v>365664</c:v>
                </c:pt>
                <c:pt idx="2">
                  <c:v>781040</c:v>
                </c:pt>
                <c:pt idx="3">
                  <c:v>1405144</c:v>
                </c:pt>
                <c:pt idx="4">
                  <c:v>2445976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0-490C-A2D1-3B9E7845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48272"/>
        <c:axId val="209246352"/>
      </c:scatterChart>
      <c:scatterChart>
        <c:scatterStyle val="lineMarker"/>
        <c:varyColors val="0"/>
        <c:ser>
          <c:idx val="2"/>
          <c:order val="2"/>
          <c:tx>
            <c:v>Number of nodes robin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Length'!$F$96:$F$100</c:f>
              <c:numCache>
                <c:formatCode>General</c:formatCode>
                <c:ptCount val="5"/>
                <c:pt idx="0">
                  <c:v>548</c:v>
                </c:pt>
                <c:pt idx="1">
                  <c:v>3513</c:v>
                </c:pt>
                <c:pt idx="2">
                  <c:v>7510</c:v>
                </c:pt>
                <c:pt idx="3">
                  <c:v>13510</c:v>
                </c:pt>
                <c:pt idx="4">
                  <c:v>23516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0-490C-A2D1-3B9E7845F187}"/>
            </c:ext>
          </c:extLst>
        </c:ser>
        <c:ser>
          <c:idx val="3"/>
          <c:order val="3"/>
          <c:tx>
            <c:v>Number of node static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Length'!$I$96:$I$100</c:f>
              <c:numCache>
                <c:formatCode>General</c:formatCode>
                <c:ptCount val="5"/>
                <c:pt idx="0">
                  <c:v>548</c:v>
                </c:pt>
                <c:pt idx="1">
                  <c:v>3516</c:v>
                </c:pt>
                <c:pt idx="2">
                  <c:v>7510</c:v>
                </c:pt>
                <c:pt idx="3">
                  <c:v>13511</c:v>
                </c:pt>
                <c:pt idx="4">
                  <c:v>23519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80-490C-A2D1-3B9E7845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6432"/>
        <c:axId val="209254512"/>
      </c:scatterChart>
      <c:valAx>
        <c:axId val="2092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Words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6352"/>
        <c:crosses val="autoZero"/>
        <c:crossBetween val="midCat"/>
      </c:valAx>
      <c:valAx>
        <c:axId val="2092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Allocated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8272"/>
        <c:crosses val="autoZero"/>
        <c:crossBetween val="midCat"/>
      </c:valAx>
      <c:valAx>
        <c:axId val="20925451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56432"/>
        <c:crosses val="max"/>
        <c:crossBetween val="midCat"/>
      </c:valAx>
      <c:valAx>
        <c:axId val="20925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25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 Prices - File</a:t>
            </a:r>
            <a:r>
              <a:rPr lang="en-US" b="1" i="1" baseline="0"/>
              <a:t> size 5000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Memory robin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Length'!$G$102:$G$106</c:f>
              <c:numCache>
                <c:formatCode>General</c:formatCode>
                <c:ptCount val="5"/>
                <c:pt idx="0">
                  <c:v>41532</c:v>
                </c:pt>
                <c:pt idx="1">
                  <c:v>814652</c:v>
                </c:pt>
                <c:pt idx="2">
                  <c:v>1855788</c:v>
                </c:pt>
                <c:pt idx="3">
                  <c:v>3417304</c:v>
                </c:pt>
                <c:pt idx="4">
                  <c:v>6015572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4-4B67-A96D-E94F92C263C3}"/>
            </c:ext>
          </c:extLst>
        </c:ser>
        <c:ser>
          <c:idx val="1"/>
          <c:order val="1"/>
          <c:tx>
            <c:v>Memory static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Length'!$J$102:$J$106</c:f>
              <c:numCache>
                <c:formatCode>General</c:formatCode>
                <c:ptCount val="5"/>
                <c:pt idx="0">
                  <c:v>72696</c:v>
                </c:pt>
                <c:pt idx="1">
                  <c:v>1560832</c:v>
                </c:pt>
                <c:pt idx="2">
                  <c:v>3643432</c:v>
                </c:pt>
                <c:pt idx="3">
                  <c:v>6764992</c:v>
                </c:pt>
                <c:pt idx="4">
                  <c:v>11961040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4-4B67-A96D-E94F92C26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48272"/>
        <c:axId val="209246352"/>
      </c:scatterChart>
      <c:scatterChart>
        <c:scatterStyle val="lineMarker"/>
        <c:varyColors val="0"/>
        <c:ser>
          <c:idx val="2"/>
          <c:order val="2"/>
          <c:tx>
            <c:v>Number of nodes robin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Length'!$F$102:$F$106</c:f>
              <c:numCache>
                <c:formatCode>General</c:formatCode>
                <c:ptCount val="5"/>
                <c:pt idx="0">
                  <c:v>699</c:v>
                </c:pt>
                <c:pt idx="1">
                  <c:v>15003</c:v>
                </c:pt>
                <c:pt idx="2">
                  <c:v>35027</c:v>
                </c:pt>
                <c:pt idx="3">
                  <c:v>65034</c:v>
                </c:pt>
                <c:pt idx="4">
                  <c:v>115009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E4-4B67-A96D-E94F92C263C3}"/>
            </c:ext>
          </c:extLst>
        </c:ser>
        <c:ser>
          <c:idx val="3"/>
          <c:order val="3"/>
          <c:tx>
            <c:v>Number of node static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Length'!$I$102:$I$106</c:f>
              <c:numCache>
                <c:formatCode>General</c:formatCode>
                <c:ptCount val="5"/>
                <c:pt idx="0">
                  <c:v>699</c:v>
                </c:pt>
                <c:pt idx="1">
                  <c:v>15008</c:v>
                </c:pt>
                <c:pt idx="2">
                  <c:v>35033</c:v>
                </c:pt>
                <c:pt idx="3">
                  <c:v>65048</c:v>
                </c:pt>
                <c:pt idx="4">
                  <c:v>115010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E4-4B67-A96D-E94F92C26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6432"/>
        <c:axId val="209254512"/>
      </c:scatterChart>
      <c:valAx>
        <c:axId val="2092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Words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6352"/>
        <c:crosses val="autoZero"/>
        <c:crossBetween val="midCat"/>
      </c:valAx>
      <c:valAx>
        <c:axId val="2092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Allocated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8272"/>
        <c:crosses val="autoZero"/>
        <c:crossBetween val="midCat"/>
      </c:valAx>
      <c:valAx>
        <c:axId val="20925451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56432"/>
        <c:crosses val="max"/>
        <c:crossBetween val="midCat"/>
      </c:valAx>
      <c:valAx>
        <c:axId val="20925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25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 Prices - File</a:t>
            </a:r>
            <a:r>
              <a:rPr lang="en-US" b="1" i="1" baseline="0"/>
              <a:t> size 10000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Memory robin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Length'!$G$108:$G$112</c:f>
              <c:numCache>
                <c:formatCode>General</c:formatCode>
                <c:ptCount val="5"/>
                <c:pt idx="0">
                  <c:v>41688</c:v>
                </c:pt>
                <c:pt idx="1">
                  <c:v>1537476</c:v>
                </c:pt>
                <c:pt idx="2">
                  <c:v>3616064</c:v>
                </c:pt>
                <c:pt idx="3">
                  <c:v>6740264</c:v>
                </c:pt>
                <c:pt idx="4">
                  <c:v>11937460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0-45C5-B4E3-F21DAE55C667}"/>
            </c:ext>
          </c:extLst>
        </c:ser>
        <c:ser>
          <c:idx val="1"/>
          <c:order val="1"/>
          <c:tx>
            <c:v>Memory static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Length'!$J$108:$J$112</c:f>
              <c:numCache>
                <c:formatCode>General</c:formatCode>
                <c:ptCount val="5"/>
                <c:pt idx="0">
                  <c:v>73008</c:v>
                </c:pt>
                <c:pt idx="1">
                  <c:v>2934464</c:v>
                </c:pt>
                <c:pt idx="2">
                  <c:v>7093112</c:v>
                </c:pt>
                <c:pt idx="3">
                  <c:v>13342160</c:v>
                </c:pt>
                <c:pt idx="4">
                  <c:v>23735088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60-45C5-B4E3-F21DAE55C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48272"/>
        <c:axId val="209246352"/>
      </c:scatterChart>
      <c:scatterChart>
        <c:scatterStyle val="lineMarker"/>
        <c:varyColors val="0"/>
        <c:ser>
          <c:idx val="2"/>
          <c:order val="2"/>
          <c:tx>
            <c:v>Number of nodes robin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Length'!$F$108:$F$112</c:f>
              <c:numCache>
                <c:formatCode>General</c:formatCode>
                <c:ptCount val="5"/>
                <c:pt idx="0">
                  <c:v>702</c:v>
                </c:pt>
                <c:pt idx="1">
                  <c:v>28201</c:v>
                </c:pt>
                <c:pt idx="2">
                  <c:v>68176</c:v>
                </c:pt>
                <c:pt idx="3">
                  <c:v>128258</c:v>
                </c:pt>
                <c:pt idx="4">
                  <c:v>228197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60-45C5-B4E3-F21DAE55C667}"/>
            </c:ext>
          </c:extLst>
        </c:ser>
        <c:ser>
          <c:idx val="3"/>
          <c:order val="3"/>
          <c:tx>
            <c:v>Number of node static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Length'!$I$108:$I$112</c:f>
              <c:numCache>
                <c:formatCode>General</c:formatCode>
                <c:ptCount val="5"/>
                <c:pt idx="0">
                  <c:v>702</c:v>
                </c:pt>
                <c:pt idx="1">
                  <c:v>28216</c:v>
                </c:pt>
                <c:pt idx="2">
                  <c:v>68203</c:v>
                </c:pt>
                <c:pt idx="3">
                  <c:v>128290</c:v>
                </c:pt>
                <c:pt idx="4">
                  <c:v>228222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60-45C5-B4E3-F21DAE55C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6432"/>
        <c:axId val="209254512"/>
      </c:scatterChart>
      <c:valAx>
        <c:axId val="2092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Words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6352"/>
        <c:crosses val="autoZero"/>
        <c:crossBetween val="midCat"/>
      </c:valAx>
      <c:valAx>
        <c:axId val="2092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Allocated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8272"/>
        <c:crosses val="autoZero"/>
        <c:crossBetween val="midCat"/>
      </c:valAx>
      <c:valAx>
        <c:axId val="20925451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56432"/>
        <c:crosses val="max"/>
        <c:crossBetween val="midCat"/>
      </c:valAx>
      <c:valAx>
        <c:axId val="20925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25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Prices - File</a:t>
            </a:r>
            <a:r>
              <a:rPr lang="en-US" b="1" baseline="0"/>
              <a:t> size 100000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Memory robin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Length'!$G$114:$G$118</c:f>
              <c:numCache>
                <c:formatCode>General</c:formatCode>
                <c:ptCount val="5"/>
                <c:pt idx="0">
                  <c:v>41688</c:v>
                </c:pt>
                <c:pt idx="1">
                  <c:v>11460096</c:v>
                </c:pt>
                <c:pt idx="2">
                  <c:v>32251704</c:v>
                </c:pt>
                <c:pt idx="3">
                  <c:v>63440856</c:v>
                </c:pt>
                <c:pt idx="4">
                  <c:v>115460508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F-4B54-BFE2-37CB70E566D8}"/>
            </c:ext>
          </c:extLst>
        </c:ser>
        <c:ser>
          <c:idx val="1"/>
          <c:order val="1"/>
          <c:tx>
            <c:v>Memory static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Length'!$J$114:$J$118</c:f>
              <c:numCache>
                <c:formatCode>General</c:formatCode>
                <c:ptCount val="5"/>
                <c:pt idx="0">
                  <c:v>73008</c:v>
                </c:pt>
                <c:pt idx="1">
                  <c:v>21601736</c:v>
                </c:pt>
                <c:pt idx="2">
                  <c:v>63191336</c:v>
                </c:pt>
                <c:pt idx="3">
                  <c:v>125572304</c:v>
                </c:pt>
                <c:pt idx="4">
                  <c:v>229603504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0F-4B54-BFE2-37CB70E56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48272"/>
        <c:axId val="209246352"/>
      </c:scatterChart>
      <c:scatterChart>
        <c:scatterStyle val="lineMarker"/>
        <c:varyColors val="0"/>
        <c:ser>
          <c:idx val="2"/>
          <c:order val="2"/>
          <c:tx>
            <c:v>Number of nodes robin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Length'!$F$114:$F$118</c:f>
              <c:numCache>
                <c:formatCode>General</c:formatCode>
                <c:ptCount val="5"/>
                <c:pt idx="0">
                  <c:v>702</c:v>
                </c:pt>
                <c:pt idx="1">
                  <c:v>207596</c:v>
                </c:pt>
                <c:pt idx="2">
                  <c:v>607466</c:v>
                </c:pt>
                <c:pt idx="3">
                  <c:v>1207298</c:v>
                </c:pt>
                <c:pt idx="4">
                  <c:v>2207595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0F-4B54-BFE2-37CB70E566D8}"/>
            </c:ext>
          </c:extLst>
        </c:ser>
        <c:ser>
          <c:idx val="3"/>
          <c:order val="3"/>
          <c:tx>
            <c:v>Number of node static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Length'!$I$114:$I$118</c:f>
              <c:numCache>
                <c:formatCode>General</c:formatCode>
                <c:ptCount val="5"/>
                <c:pt idx="0">
                  <c:v>702</c:v>
                </c:pt>
                <c:pt idx="1">
                  <c:v>207709</c:v>
                </c:pt>
                <c:pt idx="2">
                  <c:v>607609</c:v>
                </c:pt>
                <c:pt idx="3">
                  <c:v>1207426</c:v>
                </c:pt>
                <c:pt idx="4">
                  <c:v>2207726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0F-4B54-BFE2-37CB70E56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6432"/>
        <c:axId val="209254512"/>
      </c:scatterChart>
      <c:valAx>
        <c:axId val="2092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Words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6352"/>
        <c:crosses val="autoZero"/>
        <c:crossBetween val="midCat"/>
      </c:valAx>
      <c:valAx>
        <c:axId val="2092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Allocated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8272"/>
        <c:crosses val="autoZero"/>
        <c:crossBetween val="midCat"/>
      </c:valAx>
      <c:valAx>
        <c:axId val="20925451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56432"/>
        <c:crosses val="max"/>
        <c:crossBetween val="midCat"/>
      </c:valAx>
      <c:valAx>
        <c:axId val="20925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25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 Prices - File</a:t>
            </a:r>
            <a:r>
              <a:rPr lang="en-US" b="1" i="1" baseline="0"/>
              <a:t> size 500000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Memory robin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Length'!$G$120:$G$124</c:f>
              <c:numCache>
                <c:formatCode>General</c:formatCode>
                <c:ptCount val="5"/>
                <c:pt idx="0">
                  <c:v>41688</c:v>
                </c:pt>
                <c:pt idx="1">
                  <c:v>45058544</c:v>
                </c:pt>
                <c:pt idx="2">
                  <c:v>149044860</c:v>
                </c:pt>
                <c:pt idx="3">
                  <c:v>305064008</c:v>
                </c:pt>
                <c:pt idx="4">
                  <c:v>565078428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3-4366-9114-0472D5C63AC6}"/>
            </c:ext>
          </c:extLst>
        </c:ser>
        <c:ser>
          <c:idx val="1"/>
          <c:order val="1"/>
          <c:tx>
            <c:v>Memory static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Length'!$J$120:$J$124</c:f>
              <c:numCache>
                <c:formatCode>General</c:formatCode>
                <c:ptCount val="5"/>
                <c:pt idx="0">
                  <c:v>73008</c:v>
                </c:pt>
                <c:pt idx="1">
                  <c:v>84417840</c:v>
                </c:pt>
                <c:pt idx="2">
                  <c:v>292381128</c:v>
                </c:pt>
                <c:pt idx="3">
                  <c:v>604412016</c:v>
                </c:pt>
                <c:pt idx="4">
                  <c:v>1124439368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43-4366-9114-0472D5C6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48272"/>
        <c:axId val="209246352"/>
      </c:scatterChart>
      <c:scatterChart>
        <c:scatterStyle val="lineMarker"/>
        <c:varyColors val="0"/>
        <c:ser>
          <c:idx val="2"/>
          <c:order val="2"/>
          <c:tx>
            <c:v>Number of nodes robin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Length'!$F$120:$F$123</c:f>
              <c:numCache>
                <c:formatCode>General</c:formatCode>
                <c:ptCount val="4"/>
                <c:pt idx="0">
                  <c:v>702</c:v>
                </c:pt>
                <c:pt idx="1">
                  <c:v>810356</c:v>
                </c:pt>
                <c:pt idx="2">
                  <c:v>2809979</c:v>
                </c:pt>
                <c:pt idx="3">
                  <c:v>5810398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43-4366-9114-0472D5C63AC6}"/>
            </c:ext>
          </c:extLst>
        </c:ser>
        <c:ser>
          <c:idx val="3"/>
          <c:order val="3"/>
          <c:tx>
            <c:v>Number of node static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'Same Length'!$D$96:$D$100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15</c:v>
                </c:pt>
                <c:pt idx="4">
                  <c:v>25</c:v>
                </c:pt>
              </c:numCache>
            </c:numRef>
          </c:xVal>
          <c:yVal>
            <c:numRef>
              <c:f>'Same Length'!$I$120:$I$124</c:f>
              <c:numCache>
                <c:formatCode>General</c:formatCode>
                <c:ptCount val="5"/>
                <c:pt idx="0">
                  <c:v>702</c:v>
                </c:pt>
                <c:pt idx="1">
                  <c:v>811710</c:v>
                </c:pt>
                <c:pt idx="2">
                  <c:v>2811357</c:v>
                </c:pt>
                <c:pt idx="3">
                  <c:v>5811654</c:v>
                </c:pt>
                <c:pt idx="4">
                  <c:v>10811917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43-4366-9114-0472D5C6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6432"/>
        <c:axId val="209254512"/>
      </c:scatterChart>
      <c:valAx>
        <c:axId val="2092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Words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6352"/>
        <c:crosses val="autoZero"/>
        <c:crossBetween val="midCat"/>
      </c:valAx>
      <c:valAx>
        <c:axId val="2092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Allocated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48272"/>
        <c:crosses val="autoZero"/>
        <c:crossBetween val="midCat"/>
      </c:valAx>
      <c:valAx>
        <c:axId val="20925451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209256432"/>
        <c:crosses val="max"/>
        <c:crossBetween val="midCat"/>
      </c:valAx>
      <c:valAx>
        <c:axId val="20925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25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Averege Prices - </a:t>
            </a:r>
            <a:r>
              <a:rPr lang="en-US" b="1" i="1" baseline="0"/>
              <a:t> Percentage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Memory Allocated Static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Percentage!$Z$15:$Z$19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xVal>
          <c:yVal>
            <c:numRef>
              <c:f>Percentage!$AB$9:$AB$13</c:f>
              <c:numCache>
                <c:formatCode>General</c:formatCode>
                <c:ptCount val="5"/>
                <c:pt idx="0">
                  <c:v>832780</c:v>
                </c:pt>
                <c:pt idx="1">
                  <c:v>3888976</c:v>
                </c:pt>
                <c:pt idx="2">
                  <c:v>7570004</c:v>
                </c:pt>
                <c:pt idx="3">
                  <c:v>68258840</c:v>
                </c:pt>
                <c:pt idx="4">
                  <c:v>317394428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C2-42BF-B41D-D9FC78FB05AD}"/>
            </c:ext>
          </c:extLst>
        </c:ser>
        <c:ser>
          <c:idx val="3"/>
          <c:order val="3"/>
          <c:tx>
            <c:v>Memory Allocated Robin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Percentage!$Z$15:$Z$19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xVal>
          <c:yVal>
            <c:numRef>
              <c:f>Percentage!$AG$9:$AG$13</c:f>
              <c:numCache>
                <c:formatCode>General</c:formatCode>
                <c:ptCount val="5"/>
                <c:pt idx="0">
                  <c:v>421886</c:v>
                </c:pt>
                <c:pt idx="1">
                  <c:v>1979090</c:v>
                </c:pt>
                <c:pt idx="2">
                  <c:v>3855556</c:v>
                </c:pt>
                <c:pt idx="3">
                  <c:v>34780654</c:v>
                </c:pt>
                <c:pt idx="4">
                  <c:v>161528882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C2-42BF-B41D-D9FC78FB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976351"/>
        <c:axId val="935954751"/>
      </c:scatterChart>
      <c:scatterChart>
        <c:scatterStyle val="lineMarker"/>
        <c:varyColors val="0"/>
        <c:ser>
          <c:idx val="0"/>
          <c:order val="0"/>
          <c:tx>
            <c:v>Number of Nodes Static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Percentage!$Z$15:$Z$19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xVal>
          <c:yVal>
            <c:numRef>
              <c:f>Percentage!$AB$2:$AB$6</c:f>
              <c:numCache>
                <c:formatCode>General</c:formatCode>
                <c:ptCount val="5"/>
                <c:pt idx="0">
                  <c:v>8007.5</c:v>
                </c:pt>
                <c:pt idx="1">
                  <c:v>37394</c:v>
                </c:pt>
                <c:pt idx="2">
                  <c:v>72788.5</c:v>
                </c:pt>
                <c:pt idx="3">
                  <c:v>656335</c:v>
                </c:pt>
                <c:pt idx="4">
                  <c:v>3051869.5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2-42BF-B41D-D9FC78FB05AD}"/>
            </c:ext>
          </c:extLst>
        </c:ser>
        <c:ser>
          <c:idx val="1"/>
          <c:order val="1"/>
          <c:tx>
            <c:v>Number of Nodes Robin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Percentage!$Z$15:$Z$19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</c:numCache>
            </c:numRef>
          </c:xVal>
          <c:yVal>
            <c:numRef>
              <c:f>Percentage!$AG$2:$AG$6</c:f>
              <c:numCache>
                <c:formatCode>General</c:formatCode>
                <c:ptCount val="5"/>
                <c:pt idx="0">
                  <c:v>8005.5</c:v>
                </c:pt>
                <c:pt idx="1">
                  <c:v>37386.5</c:v>
                </c:pt>
                <c:pt idx="2">
                  <c:v>72765</c:v>
                </c:pt>
                <c:pt idx="3">
                  <c:v>656219.5</c:v>
                </c:pt>
                <c:pt idx="4">
                  <c:v>3050634.5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C2-42BF-B41D-D9FC78FB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474319"/>
        <c:axId val="991457039"/>
      </c:scatterChart>
      <c:valAx>
        <c:axId val="93597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935954751"/>
        <c:crosses val="autoZero"/>
        <c:crossBetween val="midCat"/>
      </c:valAx>
      <c:valAx>
        <c:axId val="93595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935976351"/>
        <c:crosses val="autoZero"/>
        <c:crossBetween val="midCat"/>
      </c:valAx>
      <c:valAx>
        <c:axId val="991457039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Nodes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CY"/>
          </a:p>
        </c:txPr>
        <c:crossAx val="991474319"/>
        <c:crosses val="max"/>
        <c:crossBetween val="midCat"/>
      </c:valAx>
      <c:valAx>
        <c:axId val="991474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1457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C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C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image" Target="../media/image1.jp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15874</xdr:rowOff>
    </xdr:from>
    <xdr:to>
      <xdr:col>7</xdr:col>
      <xdr:colOff>142874</xdr:colOff>
      <xdr:row>58</xdr:row>
      <xdr:rowOff>184437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C44A75-6A2E-838B-D801-0746E4765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140073</xdr:colOff>
      <xdr:row>44</xdr:row>
      <xdr:rowOff>15875</xdr:rowOff>
    </xdr:from>
    <xdr:to>
      <xdr:col>14</xdr:col>
      <xdr:colOff>698500</xdr:colOff>
      <xdr:row>59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367AA7-7BE1-4E13-914D-AC13A7059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244</xdr:rowOff>
    </xdr:from>
    <xdr:to>
      <xdr:col>7</xdr:col>
      <xdr:colOff>142875</xdr:colOff>
      <xdr:row>73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FF8D63B-5C2D-4B1B-9958-11A16906E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157883</xdr:colOff>
      <xdr:row>59</xdr:row>
      <xdr:rowOff>22721</xdr:rowOff>
    </xdr:from>
    <xdr:to>
      <xdr:col>14</xdr:col>
      <xdr:colOff>698500</xdr:colOff>
      <xdr:row>73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FAEE0A-6303-40F0-886B-D9D984AB8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73</xdr:row>
      <xdr:rowOff>68697</xdr:rowOff>
    </xdr:from>
    <xdr:to>
      <xdr:col>14</xdr:col>
      <xdr:colOff>714375</xdr:colOff>
      <xdr:row>89</xdr:row>
      <xdr:rowOff>91571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9A6FE47-265A-43D7-9661-DB0BCB054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701384</xdr:colOff>
      <xdr:row>44</xdr:row>
      <xdr:rowOff>13854</xdr:rowOff>
    </xdr:from>
    <xdr:to>
      <xdr:col>22</xdr:col>
      <xdr:colOff>190499</xdr:colOff>
      <xdr:row>59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14687EF-17CB-48E7-8595-6095312FA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209261</xdr:colOff>
      <xdr:row>44</xdr:row>
      <xdr:rowOff>34927</xdr:rowOff>
    </xdr:from>
    <xdr:to>
      <xdr:col>29</xdr:col>
      <xdr:colOff>15875</xdr:colOff>
      <xdr:row>59</xdr:row>
      <xdr:rowOff>31751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FBB486-D1B5-4106-91A2-B58E3CBE5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698210</xdr:colOff>
      <xdr:row>58</xdr:row>
      <xdr:rowOff>182878</xdr:rowOff>
    </xdr:from>
    <xdr:to>
      <xdr:col>22</xdr:col>
      <xdr:colOff>190500</xdr:colOff>
      <xdr:row>73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FABCC1F-D970-499A-A74B-F5BC784DC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188191</xdr:colOff>
      <xdr:row>58</xdr:row>
      <xdr:rowOff>176933</xdr:rowOff>
    </xdr:from>
    <xdr:to>
      <xdr:col>28</xdr:col>
      <xdr:colOff>587375</xdr:colOff>
      <xdr:row>73</xdr:row>
      <xdr:rowOff>31750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9DF94BA-3BBC-4687-9423-9F86109D9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682625</xdr:colOff>
      <xdr:row>73</xdr:row>
      <xdr:rowOff>51377</xdr:rowOff>
    </xdr:from>
    <xdr:to>
      <xdr:col>29</xdr:col>
      <xdr:colOff>0</xdr:colOff>
      <xdr:row>89</xdr:row>
      <xdr:rowOff>115815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DD69489-34CE-4C12-9EFB-5D2B5EC04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92</xdr:row>
      <xdr:rowOff>19050</xdr:rowOff>
    </xdr:from>
    <xdr:to>
      <xdr:col>14</xdr:col>
      <xdr:colOff>742950</xdr:colOff>
      <xdr:row>110</xdr:row>
      <xdr:rowOff>50949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C30F3FC-C34E-4CB5-82E6-E855168F3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663286</xdr:colOff>
      <xdr:row>92</xdr:row>
      <xdr:rowOff>15586</xdr:rowOff>
    </xdr:from>
    <xdr:to>
      <xdr:col>29</xdr:col>
      <xdr:colOff>0</xdr:colOff>
      <xdr:row>110</xdr:row>
      <xdr:rowOff>47485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ACA729D-2504-4770-8428-AA058FA95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110</xdr:row>
      <xdr:rowOff>27709</xdr:rowOff>
    </xdr:from>
    <xdr:to>
      <xdr:col>14</xdr:col>
      <xdr:colOff>666750</xdr:colOff>
      <xdr:row>128</xdr:row>
      <xdr:rowOff>59609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A202F78-4E29-4608-9399-7836E10C6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659822</xdr:colOff>
      <xdr:row>110</xdr:row>
      <xdr:rowOff>27709</xdr:rowOff>
    </xdr:from>
    <xdr:to>
      <xdr:col>29</xdr:col>
      <xdr:colOff>0</xdr:colOff>
      <xdr:row>128</xdr:row>
      <xdr:rowOff>59609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24A0CC0-6910-4B90-95FE-C3240D8FF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0</xdr:colOff>
      <xdr:row>128</xdr:row>
      <xdr:rowOff>19050</xdr:rowOff>
    </xdr:from>
    <xdr:to>
      <xdr:col>23</xdr:col>
      <xdr:colOff>0</xdr:colOff>
      <xdr:row>146</xdr:row>
      <xdr:rowOff>50949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1C1FED7-0656-466F-A454-9F5C63B5F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40</xdr:col>
      <xdr:colOff>6683</xdr:colOff>
      <xdr:row>90</xdr:row>
      <xdr:rowOff>146145</xdr:rowOff>
    </xdr:from>
    <xdr:to>
      <xdr:col>47</xdr:col>
      <xdr:colOff>29058</xdr:colOff>
      <xdr:row>116</xdr:row>
      <xdr:rowOff>161561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09F46-78DA-3EC9-5927-ACE97D1A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86472" y="18122906"/>
          <a:ext cx="4279558" cy="4898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9524</xdr:colOff>
      <xdr:row>0</xdr:row>
      <xdr:rowOff>38100</xdr:rowOff>
    </xdr:from>
    <xdr:to>
      <xdr:col>38</xdr:col>
      <xdr:colOff>133349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DDB91-0390-9493-8100-CAA3729C0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0ACF-B473-4117-A061-FCA2BB6E05D6}">
  <sheetPr>
    <tabColor rgb="FF7030A0"/>
  </sheetPr>
  <dimension ref="A1:BG124"/>
  <sheetViews>
    <sheetView tabSelected="1" topLeftCell="A89" zoomScale="69" zoomScaleNormal="40" workbookViewId="0">
      <selection activeCell="AF105" sqref="AF105"/>
    </sheetView>
  </sheetViews>
  <sheetFormatPr defaultRowHeight="14.5" x14ac:dyDescent="0.35"/>
  <cols>
    <col min="3" max="4" width="8.90625" bestFit="1" customWidth="1"/>
    <col min="5" max="5" width="10.36328125" bestFit="1" customWidth="1"/>
    <col min="6" max="7" width="11.453125" bestFit="1" customWidth="1"/>
    <col min="9" max="9" width="9.1796875" bestFit="1" customWidth="1"/>
    <col min="10" max="10" width="11.453125" bestFit="1" customWidth="1"/>
    <col min="13" max="13" width="8.81640625" bestFit="1" customWidth="1"/>
    <col min="14" max="14" width="9.1796875" bestFit="1" customWidth="1"/>
    <col min="15" max="15" width="11.453125" bestFit="1" customWidth="1"/>
    <col min="16" max="16" width="8.81640625" bestFit="1" customWidth="1"/>
    <col min="17" max="17" width="10.36328125" bestFit="1" customWidth="1"/>
    <col min="22" max="22" width="9.1796875" bestFit="1" customWidth="1"/>
    <col min="23" max="23" width="11.453125" bestFit="1" customWidth="1"/>
    <col min="26" max="26" width="9.1796875" bestFit="1" customWidth="1"/>
    <col min="27" max="27" width="11.453125" bestFit="1" customWidth="1"/>
    <col min="29" max="29" width="11.453125" bestFit="1" customWidth="1"/>
    <col min="30" max="30" width="11.1796875" bestFit="1" customWidth="1"/>
    <col min="34" max="34" width="15.1796875" bestFit="1" customWidth="1"/>
    <col min="36" max="36" width="12.1796875" bestFit="1" customWidth="1"/>
    <col min="39" max="39" width="12.1796875" bestFit="1" customWidth="1"/>
  </cols>
  <sheetData>
    <row r="1" spans="1:59" ht="14.5" customHeight="1" x14ac:dyDescent="0.35">
      <c r="A1" s="32" t="s">
        <v>222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4"/>
      <c r="AE1" s="32" t="s">
        <v>102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4"/>
    </row>
    <row r="2" spans="1:59" ht="14.5" customHeight="1" x14ac:dyDescent="0.3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/>
      <c r="AE2" s="35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7"/>
    </row>
    <row r="3" spans="1:59" ht="15" customHeight="1" thickBot="1" x14ac:dyDescent="0.4">
      <c r="A3" s="35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7"/>
      <c r="AE3" s="35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7"/>
    </row>
    <row r="4" spans="1:59" ht="14.5" customHeight="1" x14ac:dyDescent="0.35">
      <c r="A4" s="4"/>
      <c r="B4" s="2"/>
      <c r="C4" s="40" t="s">
        <v>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2"/>
      <c r="P4" s="40" t="s">
        <v>53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2"/>
      <c r="AC4" s="7"/>
      <c r="AE4" s="4"/>
      <c r="AF4" s="2"/>
      <c r="AG4" s="40" t="s">
        <v>0</v>
      </c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2"/>
      <c r="AT4" s="40" t="s">
        <v>53</v>
      </c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2"/>
      <c r="BG4" s="7"/>
    </row>
    <row r="5" spans="1:59" ht="15" customHeight="1" thickBot="1" x14ac:dyDescent="0.4">
      <c r="A5" s="4"/>
      <c r="B5" s="39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39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39"/>
      <c r="AC5" s="7"/>
      <c r="AE5" s="4"/>
      <c r="AF5" s="39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39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39"/>
      <c r="BG5" s="7"/>
    </row>
    <row r="6" spans="1:59" ht="16.5" thickBot="1" x14ac:dyDescent="0.4">
      <c r="A6" s="4"/>
      <c r="B6" s="39"/>
      <c r="C6" s="17" t="s">
        <v>1</v>
      </c>
      <c r="D6" s="18"/>
      <c r="E6" s="19"/>
      <c r="F6" s="20" t="s">
        <v>2</v>
      </c>
      <c r="G6" s="21"/>
      <c r="H6" s="22"/>
      <c r="I6" s="23" t="s">
        <v>3</v>
      </c>
      <c r="J6" s="24"/>
      <c r="K6" s="25"/>
      <c r="L6" s="26" t="s">
        <v>4</v>
      </c>
      <c r="M6" s="27"/>
      <c r="N6" s="28"/>
      <c r="O6" s="39"/>
      <c r="P6" s="17" t="s">
        <v>1</v>
      </c>
      <c r="Q6" s="18"/>
      <c r="R6" s="19"/>
      <c r="S6" s="20" t="s">
        <v>2</v>
      </c>
      <c r="T6" s="21"/>
      <c r="U6" s="22"/>
      <c r="V6" s="23" t="s">
        <v>3</v>
      </c>
      <c r="W6" s="24"/>
      <c r="X6" s="25"/>
      <c r="Y6" s="26" t="s">
        <v>4</v>
      </c>
      <c r="Z6" s="27"/>
      <c r="AA6" s="28"/>
      <c r="AB6" s="39"/>
      <c r="AC6" s="7"/>
      <c r="AE6" s="4"/>
      <c r="AF6" s="39"/>
      <c r="AG6" s="17" t="s">
        <v>1</v>
      </c>
      <c r="AH6" s="18"/>
      <c r="AI6" s="19"/>
      <c r="AJ6" s="20" t="s">
        <v>2</v>
      </c>
      <c r="AK6" s="21"/>
      <c r="AL6" s="22"/>
      <c r="AM6" s="23" t="s">
        <v>3</v>
      </c>
      <c r="AN6" s="24"/>
      <c r="AO6" s="25"/>
      <c r="AP6" s="26" t="s">
        <v>4</v>
      </c>
      <c r="AQ6" s="27"/>
      <c r="AR6" s="28"/>
      <c r="AS6" s="39"/>
      <c r="AT6" s="17" t="s">
        <v>1</v>
      </c>
      <c r="AU6" s="18"/>
      <c r="AV6" s="19"/>
      <c r="AW6" s="20" t="s">
        <v>2</v>
      </c>
      <c r="AX6" s="21"/>
      <c r="AY6" s="22"/>
      <c r="AZ6" s="23" t="s">
        <v>3</v>
      </c>
      <c r="BA6" s="24"/>
      <c r="BB6" s="25"/>
      <c r="BC6" s="26" t="s">
        <v>4</v>
      </c>
      <c r="BD6" s="27"/>
      <c r="BE6" s="28"/>
      <c r="BF6" s="39"/>
      <c r="BG6" s="7"/>
    </row>
    <row r="7" spans="1:59" ht="16.5" thickBot="1" x14ac:dyDescent="0.4">
      <c r="A7" s="4"/>
      <c r="B7" s="39"/>
      <c r="C7" s="11" t="s">
        <v>6</v>
      </c>
      <c r="D7" s="12"/>
      <c r="E7" s="13"/>
      <c r="F7" s="11">
        <v>2</v>
      </c>
      <c r="G7" s="12"/>
      <c r="H7" s="13"/>
      <c r="I7" s="11">
        <v>548</v>
      </c>
      <c r="J7" s="12"/>
      <c r="K7" s="13"/>
      <c r="L7" s="11" t="s">
        <v>5</v>
      </c>
      <c r="M7" s="12"/>
      <c r="N7" s="13"/>
      <c r="O7" s="39"/>
      <c r="P7" s="11" t="s">
        <v>6</v>
      </c>
      <c r="Q7" s="12"/>
      <c r="R7" s="13"/>
      <c r="S7" s="11">
        <v>2</v>
      </c>
      <c r="T7" s="12"/>
      <c r="U7" s="13"/>
      <c r="V7" s="11">
        <v>548</v>
      </c>
      <c r="W7" s="12"/>
      <c r="X7" s="13"/>
      <c r="Y7" s="11" t="s">
        <v>54</v>
      </c>
      <c r="Z7" s="12"/>
      <c r="AA7" s="13"/>
      <c r="AB7" s="39"/>
      <c r="AC7" s="7"/>
      <c r="AE7" s="4"/>
      <c r="AF7" s="39"/>
      <c r="AG7" s="11" t="s">
        <v>6</v>
      </c>
      <c r="AH7" s="12"/>
      <c r="AI7" s="13"/>
      <c r="AJ7" s="11">
        <v>2</v>
      </c>
      <c r="AK7" s="12"/>
      <c r="AL7" s="13"/>
      <c r="AM7" s="11">
        <v>547</v>
      </c>
      <c r="AN7" s="12"/>
      <c r="AO7" s="13"/>
      <c r="AP7" s="11" t="s">
        <v>103</v>
      </c>
      <c r="AQ7" s="12"/>
      <c r="AR7" s="13"/>
      <c r="AS7" s="39"/>
      <c r="AT7" s="11" t="s">
        <v>6</v>
      </c>
      <c r="AU7" s="12"/>
      <c r="AV7" s="13"/>
      <c r="AW7" s="11">
        <v>2</v>
      </c>
      <c r="AX7" s="12"/>
      <c r="AY7" s="13"/>
      <c r="AZ7" s="11">
        <v>547</v>
      </c>
      <c r="BA7" s="12"/>
      <c r="BB7" s="13"/>
      <c r="BC7" s="11" t="s">
        <v>104</v>
      </c>
      <c r="BD7" s="12"/>
      <c r="BE7" s="13"/>
      <c r="BF7" s="39"/>
      <c r="BG7" s="7"/>
    </row>
    <row r="8" spans="1:59" ht="16.5" thickBot="1" x14ac:dyDescent="0.4">
      <c r="A8" s="4"/>
      <c r="B8" s="39"/>
      <c r="C8" s="11" t="s">
        <v>6</v>
      </c>
      <c r="D8" s="12"/>
      <c r="E8" s="13"/>
      <c r="F8" s="11">
        <v>5</v>
      </c>
      <c r="G8" s="12"/>
      <c r="H8" s="13"/>
      <c r="I8" s="11" t="s">
        <v>11</v>
      </c>
      <c r="J8" s="12"/>
      <c r="K8" s="13"/>
      <c r="L8" s="11" t="s">
        <v>12</v>
      </c>
      <c r="M8" s="12"/>
      <c r="N8" s="13"/>
      <c r="O8" s="39"/>
      <c r="P8" s="11" t="s">
        <v>6</v>
      </c>
      <c r="Q8" s="12"/>
      <c r="R8" s="13"/>
      <c r="S8" s="11">
        <v>5</v>
      </c>
      <c r="T8" s="12"/>
      <c r="U8" s="13"/>
      <c r="V8" s="11" t="s">
        <v>55</v>
      </c>
      <c r="W8" s="12"/>
      <c r="X8" s="13"/>
      <c r="Y8" s="11" t="s">
        <v>56</v>
      </c>
      <c r="Z8" s="12"/>
      <c r="AA8" s="13"/>
      <c r="AB8" s="39"/>
      <c r="AC8" s="7"/>
      <c r="AE8" s="4"/>
      <c r="AF8" s="39"/>
      <c r="AG8" s="11" t="s">
        <v>6</v>
      </c>
      <c r="AH8" s="12"/>
      <c r="AI8" s="13"/>
      <c r="AJ8" s="11">
        <v>5</v>
      </c>
      <c r="AK8" s="12"/>
      <c r="AL8" s="13"/>
      <c r="AM8" s="11" t="s">
        <v>11</v>
      </c>
      <c r="AN8" s="12"/>
      <c r="AO8" s="13"/>
      <c r="AP8" s="11" t="s">
        <v>12</v>
      </c>
      <c r="AQ8" s="12"/>
      <c r="AR8" s="13"/>
      <c r="AS8" s="39"/>
      <c r="AT8" s="11" t="s">
        <v>6</v>
      </c>
      <c r="AU8" s="12"/>
      <c r="AV8" s="13"/>
      <c r="AW8" s="11">
        <v>5</v>
      </c>
      <c r="AX8" s="12"/>
      <c r="AY8" s="13"/>
      <c r="AZ8" s="11" t="s">
        <v>55</v>
      </c>
      <c r="BA8" s="12"/>
      <c r="BB8" s="13"/>
      <c r="BC8" s="11" t="s">
        <v>105</v>
      </c>
      <c r="BD8" s="12"/>
      <c r="BE8" s="13"/>
      <c r="BF8" s="39"/>
      <c r="BG8" s="7"/>
    </row>
    <row r="9" spans="1:59" ht="16.5" thickBot="1" x14ac:dyDescent="0.4">
      <c r="A9" s="4"/>
      <c r="B9" s="39"/>
      <c r="C9" s="11" t="s">
        <v>6</v>
      </c>
      <c r="D9" s="12"/>
      <c r="E9" s="13"/>
      <c r="F9" s="11">
        <v>9</v>
      </c>
      <c r="G9" s="12"/>
      <c r="H9" s="13"/>
      <c r="I9" s="11" t="s">
        <v>13</v>
      </c>
      <c r="J9" s="12"/>
      <c r="K9" s="13"/>
      <c r="L9" s="11" t="s">
        <v>14</v>
      </c>
      <c r="M9" s="12"/>
      <c r="N9" s="13"/>
      <c r="O9" s="39"/>
      <c r="P9" s="11" t="s">
        <v>6</v>
      </c>
      <c r="Q9" s="12"/>
      <c r="R9" s="13"/>
      <c r="S9" s="11">
        <v>9</v>
      </c>
      <c r="T9" s="12"/>
      <c r="U9" s="13"/>
      <c r="V9" s="11" t="s">
        <v>13</v>
      </c>
      <c r="W9" s="12"/>
      <c r="X9" s="13"/>
      <c r="Y9" s="11" t="s">
        <v>57</v>
      </c>
      <c r="Z9" s="12"/>
      <c r="AA9" s="13"/>
      <c r="AB9" s="39"/>
      <c r="AC9" s="7"/>
      <c r="AE9" s="4"/>
      <c r="AF9" s="39"/>
      <c r="AG9" s="11" t="s">
        <v>6</v>
      </c>
      <c r="AH9" s="12"/>
      <c r="AI9" s="13"/>
      <c r="AJ9" s="11">
        <v>9</v>
      </c>
      <c r="AK9" s="12"/>
      <c r="AL9" s="13"/>
      <c r="AM9" s="11" t="s">
        <v>106</v>
      </c>
      <c r="AN9" s="12"/>
      <c r="AO9" s="13"/>
      <c r="AP9" s="11" t="s">
        <v>107</v>
      </c>
      <c r="AQ9" s="12"/>
      <c r="AR9" s="13"/>
      <c r="AS9" s="39"/>
      <c r="AT9" s="11" t="s">
        <v>6</v>
      </c>
      <c r="AU9" s="12"/>
      <c r="AV9" s="13"/>
      <c r="AW9" s="11">
        <v>9</v>
      </c>
      <c r="AX9" s="12"/>
      <c r="AY9" s="13"/>
      <c r="AZ9" s="11" t="s">
        <v>106</v>
      </c>
      <c r="BA9" s="12"/>
      <c r="BB9" s="13"/>
      <c r="BC9" s="11" t="s">
        <v>108</v>
      </c>
      <c r="BD9" s="12"/>
      <c r="BE9" s="13"/>
      <c r="BF9" s="39"/>
      <c r="BG9" s="7"/>
    </row>
    <row r="10" spans="1:59" ht="16.5" thickBot="1" x14ac:dyDescent="0.4">
      <c r="A10" s="4"/>
      <c r="B10" s="39"/>
      <c r="C10" s="11" t="s">
        <v>6</v>
      </c>
      <c r="D10" s="12"/>
      <c r="E10" s="13"/>
      <c r="F10" s="11">
        <v>15</v>
      </c>
      <c r="G10" s="12"/>
      <c r="H10" s="13"/>
      <c r="I10" s="11" t="s">
        <v>15</v>
      </c>
      <c r="J10" s="12"/>
      <c r="K10" s="13"/>
      <c r="L10" s="11" t="s">
        <v>16</v>
      </c>
      <c r="M10" s="12"/>
      <c r="N10" s="13"/>
      <c r="O10" s="39"/>
      <c r="P10" s="11" t="s">
        <v>6</v>
      </c>
      <c r="Q10" s="12"/>
      <c r="R10" s="13"/>
      <c r="S10" s="11">
        <v>15</v>
      </c>
      <c r="T10" s="12"/>
      <c r="U10" s="13"/>
      <c r="V10" s="11" t="s">
        <v>58</v>
      </c>
      <c r="W10" s="12"/>
      <c r="X10" s="13"/>
      <c r="Y10" s="11" t="s">
        <v>59</v>
      </c>
      <c r="Z10" s="12"/>
      <c r="AA10" s="13"/>
      <c r="AB10" s="39"/>
      <c r="AC10" s="7"/>
      <c r="AE10" s="4"/>
      <c r="AF10" s="39"/>
      <c r="AG10" s="11" t="s">
        <v>6</v>
      </c>
      <c r="AH10" s="12"/>
      <c r="AI10" s="13"/>
      <c r="AJ10" s="11">
        <v>15</v>
      </c>
      <c r="AK10" s="12"/>
      <c r="AL10" s="13"/>
      <c r="AM10" s="11" t="s">
        <v>109</v>
      </c>
      <c r="AN10" s="12"/>
      <c r="AO10" s="13"/>
      <c r="AP10" s="11" t="s">
        <v>110</v>
      </c>
      <c r="AQ10" s="12"/>
      <c r="AR10" s="13"/>
      <c r="AS10" s="39"/>
      <c r="AT10" s="11" t="s">
        <v>6</v>
      </c>
      <c r="AU10" s="12"/>
      <c r="AV10" s="13"/>
      <c r="AW10" s="11">
        <v>15</v>
      </c>
      <c r="AX10" s="12"/>
      <c r="AY10" s="13"/>
      <c r="AZ10" s="11" t="s">
        <v>111</v>
      </c>
      <c r="BA10" s="12"/>
      <c r="BB10" s="13"/>
      <c r="BC10" s="11" t="s">
        <v>112</v>
      </c>
      <c r="BD10" s="12"/>
      <c r="BE10" s="13"/>
      <c r="BF10" s="39"/>
      <c r="BG10" s="7"/>
    </row>
    <row r="11" spans="1:59" ht="16.5" thickBot="1" x14ac:dyDescent="0.4">
      <c r="A11" s="4"/>
      <c r="B11" s="39"/>
      <c r="C11" s="11" t="s">
        <v>6</v>
      </c>
      <c r="D11" s="12"/>
      <c r="E11" s="13"/>
      <c r="F11" s="14">
        <v>25</v>
      </c>
      <c r="G11" s="15"/>
      <c r="H11" s="16"/>
      <c r="I11" s="11" t="s">
        <v>17</v>
      </c>
      <c r="J11" s="12"/>
      <c r="K11" s="13"/>
      <c r="L11" s="11" t="s">
        <v>18</v>
      </c>
      <c r="M11" s="12"/>
      <c r="N11" s="13"/>
      <c r="O11" s="39"/>
      <c r="P11" s="11" t="s">
        <v>6</v>
      </c>
      <c r="Q11" s="12"/>
      <c r="R11" s="13"/>
      <c r="S11" s="14">
        <v>25</v>
      </c>
      <c r="T11" s="15"/>
      <c r="U11" s="16"/>
      <c r="V11" s="11" t="s">
        <v>60</v>
      </c>
      <c r="W11" s="12"/>
      <c r="X11" s="13"/>
      <c r="Y11" s="11" t="s">
        <v>61</v>
      </c>
      <c r="Z11" s="12"/>
      <c r="AA11" s="13"/>
      <c r="AB11" s="39"/>
      <c r="AC11" s="7"/>
      <c r="AE11" s="4"/>
      <c r="AF11" s="39"/>
      <c r="AG11" s="11" t="s">
        <v>6</v>
      </c>
      <c r="AH11" s="12"/>
      <c r="AI11" s="13"/>
      <c r="AJ11" s="14">
        <v>25</v>
      </c>
      <c r="AK11" s="15"/>
      <c r="AL11" s="16"/>
      <c r="AM11" s="11" t="s">
        <v>113</v>
      </c>
      <c r="AN11" s="12"/>
      <c r="AO11" s="13"/>
      <c r="AP11" s="11" t="s">
        <v>114</v>
      </c>
      <c r="AQ11" s="12"/>
      <c r="AR11" s="13"/>
      <c r="AS11" s="39"/>
      <c r="AT11" s="11" t="s">
        <v>6</v>
      </c>
      <c r="AU11" s="12"/>
      <c r="AV11" s="13"/>
      <c r="AW11" s="14">
        <v>25</v>
      </c>
      <c r="AX11" s="15"/>
      <c r="AY11" s="16"/>
      <c r="AZ11" s="11" t="s">
        <v>115</v>
      </c>
      <c r="BA11" s="12"/>
      <c r="BB11" s="13"/>
      <c r="BC11" s="11" t="s">
        <v>116</v>
      </c>
      <c r="BD11" s="12"/>
      <c r="BE11" s="13"/>
      <c r="BF11" s="39"/>
      <c r="BG11" s="7"/>
    </row>
    <row r="12" spans="1:59" ht="15" thickBot="1" x14ac:dyDescent="0.4">
      <c r="A12" s="4"/>
      <c r="B12" s="39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9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  <c r="AB12" s="39"/>
      <c r="AC12" s="7"/>
      <c r="AE12" s="4"/>
      <c r="AF12" s="39"/>
      <c r="AG12" s="29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1"/>
      <c r="AS12" s="39"/>
      <c r="AT12" s="29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1"/>
      <c r="BF12" s="39"/>
      <c r="BG12" s="7"/>
    </row>
    <row r="13" spans="1:59" ht="16.5" thickBot="1" x14ac:dyDescent="0.4">
      <c r="A13" s="4"/>
      <c r="B13" s="39"/>
      <c r="C13" s="17" t="s">
        <v>1</v>
      </c>
      <c r="D13" s="18"/>
      <c r="E13" s="19"/>
      <c r="F13" s="20" t="s">
        <v>2</v>
      </c>
      <c r="G13" s="21"/>
      <c r="H13" s="22"/>
      <c r="I13" s="23" t="s">
        <v>3</v>
      </c>
      <c r="J13" s="24"/>
      <c r="K13" s="25"/>
      <c r="L13" s="26" t="s">
        <v>4</v>
      </c>
      <c r="M13" s="27"/>
      <c r="N13" s="28"/>
      <c r="O13" s="39"/>
      <c r="P13" s="17" t="s">
        <v>1</v>
      </c>
      <c r="Q13" s="18"/>
      <c r="R13" s="19"/>
      <c r="S13" s="20" t="s">
        <v>2</v>
      </c>
      <c r="T13" s="21"/>
      <c r="U13" s="22"/>
      <c r="V13" s="23" t="s">
        <v>3</v>
      </c>
      <c r="W13" s="24"/>
      <c r="X13" s="25"/>
      <c r="Y13" s="26" t="s">
        <v>4</v>
      </c>
      <c r="Z13" s="27"/>
      <c r="AA13" s="28"/>
      <c r="AB13" s="39"/>
      <c r="AC13" s="7"/>
      <c r="AE13" s="4"/>
      <c r="AF13" s="39"/>
      <c r="AG13" s="17" t="s">
        <v>1</v>
      </c>
      <c r="AH13" s="18"/>
      <c r="AI13" s="19"/>
      <c r="AJ13" s="20" t="s">
        <v>2</v>
      </c>
      <c r="AK13" s="21"/>
      <c r="AL13" s="22"/>
      <c r="AM13" s="23" t="s">
        <v>3</v>
      </c>
      <c r="AN13" s="24"/>
      <c r="AO13" s="25"/>
      <c r="AP13" s="26" t="s">
        <v>4</v>
      </c>
      <c r="AQ13" s="27"/>
      <c r="AR13" s="28"/>
      <c r="AS13" s="39"/>
      <c r="AT13" s="17" t="s">
        <v>1</v>
      </c>
      <c r="AU13" s="18"/>
      <c r="AV13" s="19"/>
      <c r="AW13" s="20" t="s">
        <v>2</v>
      </c>
      <c r="AX13" s="21"/>
      <c r="AY13" s="22"/>
      <c r="AZ13" s="23" t="s">
        <v>3</v>
      </c>
      <c r="BA13" s="24"/>
      <c r="BB13" s="25"/>
      <c r="BC13" s="26" t="s">
        <v>4</v>
      </c>
      <c r="BD13" s="27"/>
      <c r="BE13" s="28"/>
      <c r="BF13" s="39"/>
      <c r="BG13" s="7"/>
    </row>
    <row r="14" spans="1:59" ht="16.5" thickBot="1" x14ac:dyDescent="0.4">
      <c r="A14" s="4"/>
      <c r="B14" s="39"/>
      <c r="C14" s="11" t="s">
        <v>7</v>
      </c>
      <c r="D14" s="12"/>
      <c r="E14" s="13"/>
      <c r="F14" s="11">
        <v>2</v>
      </c>
      <c r="G14" s="12"/>
      <c r="H14" s="13"/>
      <c r="I14" s="11">
        <v>699</v>
      </c>
      <c r="J14" s="12"/>
      <c r="K14" s="13"/>
      <c r="L14" s="11" t="s">
        <v>19</v>
      </c>
      <c r="M14" s="12"/>
      <c r="N14" s="13"/>
      <c r="O14" s="39"/>
      <c r="P14" s="11" t="s">
        <v>7</v>
      </c>
      <c r="Q14" s="12"/>
      <c r="R14" s="13"/>
      <c r="S14" s="11">
        <v>2</v>
      </c>
      <c r="T14" s="12"/>
      <c r="U14" s="13"/>
      <c r="V14" s="11">
        <v>699</v>
      </c>
      <c r="W14" s="12"/>
      <c r="X14" s="13"/>
      <c r="Y14" s="11" t="s">
        <v>62</v>
      </c>
      <c r="Z14" s="12"/>
      <c r="AA14" s="13"/>
      <c r="AB14" s="39"/>
      <c r="AC14" s="7"/>
      <c r="AE14" s="4"/>
      <c r="AF14" s="39"/>
      <c r="AG14" s="11" t="s">
        <v>7</v>
      </c>
      <c r="AH14" s="12"/>
      <c r="AI14" s="13"/>
      <c r="AJ14" s="11">
        <v>2</v>
      </c>
      <c r="AK14" s="12"/>
      <c r="AL14" s="13"/>
      <c r="AM14" s="11">
        <v>701</v>
      </c>
      <c r="AN14" s="12"/>
      <c r="AO14" s="13"/>
      <c r="AP14" s="11" t="s">
        <v>117</v>
      </c>
      <c r="AQ14" s="12"/>
      <c r="AR14" s="13"/>
      <c r="AS14" s="39"/>
      <c r="AT14" s="11" t="s">
        <v>7</v>
      </c>
      <c r="AU14" s="12"/>
      <c r="AV14" s="13"/>
      <c r="AW14" s="11">
        <v>2</v>
      </c>
      <c r="AX14" s="12"/>
      <c r="AY14" s="13"/>
      <c r="AZ14" s="11">
        <v>701</v>
      </c>
      <c r="BA14" s="12"/>
      <c r="BB14" s="13"/>
      <c r="BC14" s="11" t="s">
        <v>118</v>
      </c>
      <c r="BD14" s="12"/>
      <c r="BE14" s="13"/>
      <c r="BF14" s="39"/>
      <c r="BG14" s="7"/>
    </row>
    <row r="15" spans="1:59" ht="16.5" thickBot="1" x14ac:dyDescent="0.4">
      <c r="A15" s="4"/>
      <c r="B15" s="39"/>
      <c r="C15" s="11" t="s">
        <v>7</v>
      </c>
      <c r="D15" s="12"/>
      <c r="E15" s="13"/>
      <c r="F15" s="11">
        <v>5</v>
      </c>
      <c r="G15" s="12"/>
      <c r="H15" s="13"/>
      <c r="I15" s="11" t="s">
        <v>20</v>
      </c>
      <c r="J15" s="12"/>
      <c r="K15" s="13"/>
      <c r="L15" s="11" t="s">
        <v>21</v>
      </c>
      <c r="M15" s="12"/>
      <c r="N15" s="13"/>
      <c r="O15" s="39"/>
      <c r="P15" s="11" t="s">
        <v>7</v>
      </c>
      <c r="Q15" s="12"/>
      <c r="R15" s="13"/>
      <c r="S15" s="11">
        <v>5</v>
      </c>
      <c r="T15" s="12"/>
      <c r="U15" s="13"/>
      <c r="V15" s="11" t="s">
        <v>63</v>
      </c>
      <c r="W15" s="12"/>
      <c r="X15" s="13"/>
      <c r="Y15" s="11" t="s">
        <v>64</v>
      </c>
      <c r="Z15" s="12"/>
      <c r="AA15" s="13"/>
      <c r="AB15" s="39"/>
      <c r="AC15" s="7"/>
      <c r="AE15" s="4"/>
      <c r="AF15" s="39"/>
      <c r="AG15" s="11" t="s">
        <v>7</v>
      </c>
      <c r="AH15" s="12"/>
      <c r="AI15" s="13"/>
      <c r="AJ15" s="11">
        <v>5</v>
      </c>
      <c r="AK15" s="12"/>
      <c r="AL15" s="13"/>
      <c r="AM15" s="11" t="s">
        <v>119</v>
      </c>
      <c r="AN15" s="12"/>
      <c r="AO15" s="13"/>
      <c r="AP15" s="11" t="s">
        <v>120</v>
      </c>
      <c r="AQ15" s="12"/>
      <c r="AR15" s="13"/>
      <c r="AS15" s="39"/>
      <c r="AT15" s="11" t="s">
        <v>7</v>
      </c>
      <c r="AU15" s="12"/>
      <c r="AV15" s="13"/>
      <c r="AW15" s="11">
        <v>5</v>
      </c>
      <c r="AX15" s="12"/>
      <c r="AY15" s="13"/>
      <c r="AZ15" s="11" t="s">
        <v>121</v>
      </c>
      <c r="BA15" s="12"/>
      <c r="BB15" s="13"/>
      <c r="BC15" s="11" t="s">
        <v>122</v>
      </c>
      <c r="BD15" s="12"/>
      <c r="BE15" s="13"/>
      <c r="BF15" s="39"/>
      <c r="BG15" s="7"/>
    </row>
    <row r="16" spans="1:59" ht="16.5" thickBot="1" x14ac:dyDescent="0.4">
      <c r="A16" s="4"/>
      <c r="B16" s="39"/>
      <c r="C16" s="11" t="s">
        <v>7</v>
      </c>
      <c r="D16" s="12"/>
      <c r="E16" s="13"/>
      <c r="F16" s="11">
        <v>9</v>
      </c>
      <c r="G16" s="12"/>
      <c r="H16" s="13"/>
      <c r="I16" s="11" t="s">
        <v>22</v>
      </c>
      <c r="J16" s="12"/>
      <c r="K16" s="13"/>
      <c r="L16" s="11" t="s">
        <v>23</v>
      </c>
      <c r="M16" s="12"/>
      <c r="N16" s="13"/>
      <c r="O16" s="39"/>
      <c r="P16" s="11" t="s">
        <v>7</v>
      </c>
      <c r="Q16" s="12"/>
      <c r="R16" s="13"/>
      <c r="S16" s="11">
        <v>9</v>
      </c>
      <c r="T16" s="12"/>
      <c r="U16" s="13"/>
      <c r="V16" s="11" t="s">
        <v>65</v>
      </c>
      <c r="W16" s="12"/>
      <c r="X16" s="13"/>
      <c r="Y16" s="11" t="s">
        <v>66</v>
      </c>
      <c r="Z16" s="12"/>
      <c r="AA16" s="13"/>
      <c r="AB16" s="39"/>
      <c r="AC16" s="7"/>
      <c r="AE16" s="4"/>
      <c r="AF16" s="39"/>
      <c r="AG16" s="11" t="s">
        <v>7</v>
      </c>
      <c r="AH16" s="12"/>
      <c r="AI16" s="13"/>
      <c r="AJ16" s="11">
        <v>9</v>
      </c>
      <c r="AK16" s="12"/>
      <c r="AL16" s="13"/>
      <c r="AM16" s="11" t="s">
        <v>22</v>
      </c>
      <c r="AN16" s="12"/>
      <c r="AO16" s="13"/>
      <c r="AP16" s="11" t="s">
        <v>23</v>
      </c>
      <c r="AQ16" s="12"/>
      <c r="AR16" s="13"/>
      <c r="AS16" s="39"/>
      <c r="AT16" s="11" t="s">
        <v>7</v>
      </c>
      <c r="AU16" s="12"/>
      <c r="AV16" s="13"/>
      <c r="AW16" s="11">
        <v>9</v>
      </c>
      <c r="AX16" s="12"/>
      <c r="AY16" s="13"/>
      <c r="AZ16" s="11" t="s">
        <v>123</v>
      </c>
      <c r="BA16" s="12"/>
      <c r="BB16" s="13"/>
      <c r="BC16" s="11" t="s">
        <v>124</v>
      </c>
      <c r="BD16" s="12"/>
      <c r="BE16" s="13"/>
      <c r="BF16" s="39"/>
      <c r="BG16" s="7"/>
    </row>
    <row r="17" spans="1:59" ht="16.5" thickBot="1" x14ac:dyDescent="0.4">
      <c r="A17" s="4"/>
      <c r="B17" s="39"/>
      <c r="C17" s="11" t="s">
        <v>7</v>
      </c>
      <c r="D17" s="12"/>
      <c r="E17" s="13"/>
      <c r="F17" s="11">
        <v>15</v>
      </c>
      <c r="G17" s="12"/>
      <c r="H17" s="13"/>
      <c r="I17" s="11" t="s">
        <v>24</v>
      </c>
      <c r="J17" s="12"/>
      <c r="K17" s="13"/>
      <c r="L17" s="11" t="s">
        <v>25</v>
      </c>
      <c r="M17" s="12"/>
      <c r="N17" s="13"/>
      <c r="O17" s="39"/>
      <c r="P17" s="11" t="s">
        <v>7</v>
      </c>
      <c r="Q17" s="12"/>
      <c r="R17" s="13"/>
      <c r="S17" s="11">
        <v>15</v>
      </c>
      <c r="T17" s="12"/>
      <c r="U17" s="13"/>
      <c r="V17" s="11" t="s">
        <v>67</v>
      </c>
      <c r="W17" s="12"/>
      <c r="X17" s="13"/>
      <c r="Y17" s="11" t="s">
        <v>68</v>
      </c>
      <c r="Z17" s="12"/>
      <c r="AA17" s="13"/>
      <c r="AB17" s="39"/>
      <c r="AC17" s="7"/>
      <c r="AE17" s="4"/>
      <c r="AF17" s="39"/>
      <c r="AG17" s="11" t="s">
        <v>7</v>
      </c>
      <c r="AH17" s="12"/>
      <c r="AI17" s="13"/>
      <c r="AJ17" s="11">
        <v>15</v>
      </c>
      <c r="AK17" s="12"/>
      <c r="AL17" s="13"/>
      <c r="AM17" s="11" t="s">
        <v>125</v>
      </c>
      <c r="AN17" s="12"/>
      <c r="AO17" s="13"/>
      <c r="AP17" s="11" t="s">
        <v>126</v>
      </c>
      <c r="AQ17" s="12"/>
      <c r="AR17" s="13"/>
      <c r="AS17" s="39"/>
      <c r="AT17" s="11" t="s">
        <v>7</v>
      </c>
      <c r="AU17" s="12"/>
      <c r="AV17" s="13"/>
      <c r="AW17" s="11">
        <v>15</v>
      </c>
      <c r="AX17" s="12"/>
      <c r="AY17" s="13"/>
      <c r="AZ17" s="11" t="s">
        <v>127</v>
      </c>
      <c r="BA17" s="12"/>
      <c r="BB17" s="13"/>
      <c r="BC17" s="11" t="s">
        <v>128</v>
      </c>
      <c r="BD17" s="12"/>
      <c r="BE17" s="13"/>
      <c r="BF17" s="39"/>
      <c r="BG17" s="7"/>
    </row>
    <row r="18" spans="1:59" ht="16.5" thickBot="1" x14ac:dyDescent="0.4">
      <c r="A18" s="4"/>
      <c r="B18" s="39"/>
      <c r="C18" s="11" t="s">
        <v>7</v>
      </c>
      <c r="D18" s="12"/>
      <c r="E18" s="13"/>
      <c r="F18" s="14">
        <v>25</v>
      </c>
      <c r="G18" s="15"/>
      <c r="H18" s="16"/>
      <c r="I18" s="11" t="s">
        <v>26</v>
      </c>
      <c r="J18" s="12"/>
      <c r="K18" s="13"/>
      <c r="L18" s="11" t="s">
        <v>27</v>
      </c>
      <c r="M18" s="12"/>
      <c r="N18" s="13"/>
      <c r="O18" s="39"/>
      <c r="P18" s="11" t="s">
        <v>7</v>
      </c>
      <c r="Q18" s="12"/>
      <c r="R18" s="13"/>
      <c r="S18" s="14">
        <v>25</v>
      </c>
      <c r="T18" s="15"/>
      <c r="U18" s="16"/>
      <c r="V18" s="11" t="s">
        <v>69</v>
      </c>
      <c r="W18" s="12"/>
      <c r="X18" s="13"/>
      <c r="Y18" s="11" t="s">
        <v>70</v>
      </c>
      <c r="Z18" s="12"/>
      <c r="AA18" s="13"/>
      <c r="AB18" s="39"/>
      <c r="AC18" s="7"/>
      <c r="AE18" s="4"/>
      <c r="AF18" s="39"/>
      <c r="AG18" s="11" t="s">
        <v>7</v>
      </c>
      <c r="AH18" s="12"/>
      <c r="AI18" s="13"/>
      <c r="AJ18" s="14">
        <v>25</v>
      </c>
      <c r="AK18" s="15"/>
      <c r="AL18" s="16"/>
      <c r="AM18" s="11" t="s">
        <v>129</v>
      </c>
      <c r="AN18" s="12"/>
      <c r="AO18" s="13"/>
      <c r="AP18" s="11" t="s">
        <v>130</v>
      </c>
      <c r="AQ18" s="12"/>
      <c r="AR18" s="13"/>
      <c r="AS18" s="39"/>
      <c r="AT18" s="11" t="s">
        <v>7</v>
      </c>
      <c r="AU18" s="12"/>
      <c r="AV18" s="13"/>
      <c r="AW18" s="14">
        <v>25</v>
      </c>
      <c r="AX18" s="15"/>
      <c r="AY18" s="16"/>
      <c r="AZ18" s="11" t="s">
        <v>131</v>
      </c>
      <c r="BA18" s="12"/>
      <c r="BB18" s="13"/>
      <c r="BC18" s="11" t="s">
        <v>132</v>
      </c>
      <c r="BD18" s="12"/>
      <c r="BE18" s="13"/>
      <c r="BF18" s="39"/>
      <c r="BG18" s="7"/>
    </row>
    <row r="19" spans="1:59" ht="15" thickBot="1" x14ac:dyDescent="0.4">
      <c r="A19" s="4"/>
      <c r="B19" s="39"/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39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  <c r="AB19" s="39"/>
      <c r="AC19" s="7"/>
      <c r="AE19" s="4"/>
      <c r="AF19" s="39"/>
      <c r="AG19" s="29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1"/>
      <c r="AS19" s="39"/>
      <c r="AT19" s="29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1"/>
      <c r="BF19" s="39"/>
      <c r="BG19" s="7"/>
    </row>
    <row r="20" spans="1:59" ht="16.5" thickBot="1" x14ac:dyDescent="0.4">
      <c r="A20" s="4"/>
      <c r="B20" s="39"/>
      <c r="C20" s="17" t="s">
        <v>1</v>
      </c>
      <c r="D20" s="18"/>
      <c r="E20" s="19"/>
      <c r="F20" s="20" t="s">
        <v>2</v>
      </c>
      <c r="G20" s="21"/>
      <c r="H20" s="22"/>
      <c r="I20" s="23" t="s">
        <v>3</v>
      </c>
      <c r="J20" s="24"/>
      <c r="K20" s="25"/>
      <c r="L20" s="26" t="s">
        <v>4</v>
      </c>
      <c r="M20" s="27"/>
      <c r="N20" s="28"/>
      <c r="O20" s="39"/>
      <c r="P20" s="17" t="s">
        <v>1</v>
      </c>
      <c r="Q20" s="18"/>
      <c r="R20" s="19"/>
      <c r="S20" s="20" t="s">
        <v>2</v>
      </c>
      <c r="T20" s="21"/>
      <c r="U20" s="22"/>
      <c r="V20" s="23" t="s">
        <v>3</v>
      </c>
      <c r="W20" s="24"/>
      <c r="X20" s="25"/>
      <c r="Y20" s="26" t="s">
        <v>4</v>
      </c>
      <c r="Z20" s="27"/>
      <c r="AA20" s="28"/>
      <c r="AB20" s="39"/>
      <c r="AC20" s="7"/>
      <c r="AE20" s="4"/>
      <c r="AF20" s="39"/>
      <c r="AG20" s="17" t="s">
        <v>1</v>
      </c>
      <c r="AH20" s="18"/>
      <c r="AI20" s="19"/>
      <c r="AJ20" s="20" t="s">
        <v>2</v>
      </c>
      <c r="AK20" s="21"/>
      <c r="AL20" s="22"/>
      <c r="AM20" s="23" t="s">
        <v>3</v>
      </c>
      <c r="AN20" s="24"/>
      <c r="AO20" s="25"/>
      <c r="AP20" s="26" t="s">
        <v>4</v>
      </c>
      <c r="AQ20" s="27"/>
      <c r="AR20" s="28"/>
      <c r="AS20" s="39"/>
      <c r="AT20" s="17" t="s">
        <v>1</v>
      </c>
      <c r="AU20" s="18"/>
      <c r="AV20" s="19"/>
      <c r="AW20" s="20" t="s">
        <v>2</v>
      </c>
      <c r="AX20" s="21"/>
      <c r="AY20" s="22"/>
      <c r="AZ20" s="23" t="s">
        <v>3</v>
      </c>
      <c r="BA20" s="24"/>
      <c r="BB20" s="25"/>
      <c r="BC20" s="26" t="s">
        <v>4</v>
      </c>
      <c r="BD20" s="27"/>
      <c r="BE20" s="28"/>
      <c r="BF20" s="39"/>
      <c r="BG20" s="7"/>
    </row>
    <row r="21" spans="1:59" ht="16.5" thickBot="1" x14ac:dyDescent="0.4">
      <c r="A21" s="4"/>
      <c r="B21" s="39"/>
      <c r="C21" s="11" t="s">
        <v>8</v>
      </c>
      <c r="D21" s="12"/>
      <c r="E21" s="13"/>
      <c r="F21" s="11">
        <v>2</v>
      </c>
      <c r="G21" s="12"/>
      <c r="H21" s="13"/>
      <c r="I21" s="11">
        <v>702</v>
      </c>
      <c r="J21" s="12"/>
      <c r="K21" s="13"/>
      <c r="L21" s="11" t="s">
        <v>28</v>
      </c>
      <c r="M21" s="12"/>
      <c r="N21" s="13"/>
      <c r="O21" s="39"/>
      <c r="P21" s="11" t="s">
        <v>8</v>
      </c>
      <c r="Q21" s="12"/>
      <c r="R21" s="13"/>
      <c r="S21" s="11">
        <v>2</v>
      </c>
      <c r="T21" s="12"/>
      <c r="U21" s="13"/>
      <c r="V21" s="11">
        <v>702</v>
      </c>
      <c r="W21" s="12"/>
      <c r="X21" s="13"/>
      <c r="Y21" s="11" t="s">
        <v>71</v>
      </c>
      <c r="Z21" s="12"/>
      <c r="AA21" s="13"/>
      <c r="AB21" s="39"/>
      <c r="AC21" s="7"/>
      <c r="AE21" s="4"/>
      <c r="AF21" s="39"/>
      <c r="AG21" s="11" t="s">
        <v>8</v>
      </c>
      <c r="AH21" s="12"/>
      <c r="AI21" s="13"/>
      <c r="AJ21" s="11">
        <v>2</v>
      </c>
      <c r="AK21" s="12"/>
      <c r="AL21" s="13"/>
      <c r="AM21" s="11">
        <v>702</v>
      </c>
      <c r="AN21" s="12"/>
      <c r="AO21" s="13"/>
      <c r="AP21" s="11" t="s">
        <v>28</v>
      </c>
      <c r="AQ21" s="12"/>
      <c r="AR21" s="13"/>
      <c r="AS21" s="39"/>
      <c r="AT21" s="11" t="s">
        <v>8</v>
      </c>
      <c r="AU21" s="12"/>
      <c r="AV21" s="13"/>
      <c r="AW21" s="11">
        <v>2</v>
      </c>
      <c r="AX21" s="12"/>
      <c r="AY21" s="13"/>
      <c r="AZ21" s="11">
        <v>702</v>
      </c>
      <c r="BA21" s="12"/>
      <c r="BB21" s="13"/>
      <c r="BC21" s="11" t="s">
        <v>71</v>
      </c>
      <c r="BD21" s="12"/>
      <c r="BE21" s="13"/>
      <c r="BF21" s="39"/>
      <c r="BG21" s="7"/>
    </row>
    <row r="22" spans="1:59" ht="16.5" thickBot="1" x14ac:dyDescent="0.4">
      <c r="A22" s="4"/>
      <c r="B22" s="39"/>
      <c r="C22" s="11" t="s">
        <v>8</v>
      </c>
      <c r="D22" s="12"/>
      <c r="E22" s="13"/>
      <c r="F22" s="11">
        <v>5</v>
      </c>
      <c r="G22" s="12"/>
      <c r="H22" s="13"/>
      <c r="I22" s="11" t="s">
        <v>29</v>
      </c>
      <c r="J22" s="12"/>
      <c r="K22" s="13"/>
      <c r="L22" s="11" t="s">
        <v>30</v>
      </c>
      <c r="M22" s="12"/>
      <c r="N22" s="13"/>
      <c r="O22" s="39"/>
      <c r="P22" s="11" t="s">
        <v>8</v>
      </c>
      <c r="Q22" s="12"/>
      <c r="R22" s="13"/>
      <c r="S22" s="11">
        <v>5</v>
      </c>
      <c r="T22" s="12"/>
      <c r="U22" s="13"/>
      <c r="V22" s="11" t="s">
        <v>72</v>
      </c>
      <c r="W22" s="12"/>
      <c r="X22" s="13"/>
      <c r="Y22" s="11" t="s">
        <v>73</v>
      </c>
      <c r="Z22" s="12"/>
      <c r="AA22" s="13"/>
      <c r="AB22" s="39"/>
      <c r="AC22" s="7"/>
      <c r="AE22" s="4"/>
      <c r="AF22" s="39"/>
      <c r="AG22" s="11" t="s">
        <v>8</v>
      </c>
      <c r="AH22" s="12"/>
      <c r="AI22" s="13"/>
      <c r="AJ22" s="11">
        <v>5</v>
      </c>
      <c r="AK22" s="12"/>
      <c r="AL22" s="13"/>
      <c r="AM22" s="11" t="s">
        <v>133</v>
      </c>
      <c r="AN22" s="12"/>
      <c r="AO22" s="13"/>
      <c r="AP22" s="11" t="s">
        <v>134</v>
      </c>
      <c r="AQ22" s="12"/>
      <c r="AR22" s="13"/>
      <c r="AS22" s="39"/>
      <c r="AT22" s="11" t="s">
        <v>8</v>
      </c>
      <c r="AU22" s="12"/>
      <c r="AV22" s="13"/>
      <c r="AW22" s="11">
        <v>5</v>
      </c>
      <c r="AX22" s="12"/>
      <c r="AY22" s="13"/>
      <c r="AZ22" s="11" t="s">
        <v>135</v>
      </c>
      <c r="BA22" s="12"/>
      <c r="BB22" s="13"/>
      <c r="BC22" s="11" t="s">
        <v>136</v>
      </c>
      <c r="BD22" s="12"/>
      <c r="BE22" s="13"/>
      <c r="BF22" s="39"/>
      <c r="BG22" s="7"/>
    </row>
    <row r="23" spans="1:59" ht="16.5" thickBot="1" x14ac:dyDescent="0.4">
      <c r="A23" s="4"/>
      <c r="B23" s="39"/>
      <c r="C23" s="11" t="s">
        <v>8</v>
      </c>
      <c r="D23" s="12"/>
      <c r="E23" s="13"/>
      <c r="F23" s="11">
        <v>9</v>
      </c>
      <c r="G23" s="12"/>
      <c r="H23" s="13"/>
      <c r="I23" s="11" t="s">
        <v>31</v>
      </c>
      <c r="J23" s="12"/>
      <c r="K23" s="13"/>
      <c r="L23" s="11" t="s">
        <v>32</v>
      </c>
      <c r="M23" s="12"/>
      <c r="N23" s="13"/>
      <c r="O23" s="39"/>
      <c r="P23" s="11" t="s">
        <v>8</v>
      </c>
      <c r="Q23" s="12"/>
      <c r="R23" s="13"/>
      <c r="S23" s="11">
        <v>9</v>
      </c>
      <c r="T23" s="12"/>
      <c r="U23" s="13"/>
      <c r="V23" s="11" t="s">
        <v>74</v>
      </c>
      <c r="W23" s="12"/>
      <c r="X23" s="13"/>
      <c r="Y23" s="11" t="s">
        <v>75</v>
      </c>
      <c r="Z23" s="12"/>
      <c r="AA23" s="13"/>
      <c r="AB23" s="39"/>
      <c r="AC23" s="7"/>
      <c r="AE23" s="4"/>
      <c r="AF23" s="39"/>
      <c r="AG23" s="11" t="s">
        <v>8</v>
      </c>
      <c r="AH23" s="12"/>
      <c r="AI23" s="13"/>
      <c r="AJ23" s="11">
        <v>9</v>
      </c>
      <c r="AK23" s="12"/>
      <c r="AL23" s="13"/>
      <c r="AM23" s="11" t="s">
        <v>137</v>
      </c>
      <c r="AN23" s="12"/>
      <c r="AO23" s="13"/>
      <c r="AP23" s="11" t="s">
        <v>138</v>
      </c>
      <c r="AQ23" s="12"/>
      <c r="AR23" s="13"/>
      <c r="AS23" s="39"/>
      <c r="AT23" s="11" t="s">
        <v>8</v>
      </c>
      <c r="AU23" s="12"/>
      <c r="AV23" s="13"/>
      <c r="AW23" s="11">
        <v>9</v>
      </c>
      <c r="AX23" s="12"/>
      <c r="AY23" s="13"/>
      <c r="AZ23" s="11" t="s">
        <v>139</v>
      </c>
      <c r="BA23" s="12"/>
      <c r="BB23" s="13"/>
      <c r="BC23" s="11" t="s">
        <v>140</v>
      </c>
      <c r="BD23" s="12"/>
      <c r="BE23" s="13"/>
      <c r="BF23" s="39"/>
      <c r="BG23" s="7"/>
    </row>
    <row r="24" spans="1:59" ht="16.5" thickBot="1" x14ac:dyDescent="0.4">
      <c r="A24" s="4"/>
      <c r="B24" s="39"/>
      <c r="C24" s="11" t="s">
        <v>8</v>
      </c>
      <c r="D24" s="12"/>
      <c r="E24" s="13"/>
      <c r="F24" s="11">
        <v>15</v>
      </c>
      <c r="G24" s="12"/>
      <c r="H24" s="13"/>
      <c r="I24" s="11" t="s">
        <v>33</v>
      </c>
      <c r="J24" s="12"/>
      <c r="K24" s="13"/>
      <c r="L24" s="11" t="s">
        <v>34</v>
      </c>
      <c r="M24" s="12"/>
      <c r="N24" s="13"/>
      <c r="O24" s="39"/>
      <c r="P24" s="11" t="s">
        <v>8</v>
      </c>
      <c r="Q24" s="12"/>
      <c r="R24" s="13"/>
      <c r="S24" s="11">
        <v>15</v>
      </c>
      <c r="T24" s="12"/>
      <c r="U24" s="13"/>
      <c r="V24" s="11" t="s">
        <v>76</v>
      </c>
      <c r="W24" s="12"/>
      <c r="X24" s="13"/>
      <c r="Y24" s="11" t="s">
        <v>77</v>
      </c>
      <c r="Z24" s="12"/>
      <c r="AA24" s="13"/>
      <c r="AB24" s="39"/>
      <c r="AC24" s="7"/>
      <c r="AE24" s="4"/>
      <c r="AF24" s="39"/>
      <c r="AG24" s="11" t="s">
        <v>8</v>
      </c>
      <c r="AH24" s="12"/>
      <c r="AI24" s="13"/>
      <c r="AJ24" s="11">
        <v>15</v>
      </c>
      <c r="AK24" s="12"/>
      <c r="AL24" s="13"/>
      <c r="AM24" s="11" t="s">
        <v>141</v>
      </c>
      <c r="AN24" s="12"/>
      <c r="AO24" s="13"/>
      <c r="AP24" s="11" t="s">
        <v>142</v>
      </c>
      <c r="AQ24" s="12"/>
      <c r="AR24" s="13"/>
      <c r="AS24" s="39"/>
      <c r="AT24" s="11" t="s">
        <v>8</v>
      </c>
      <c r="AU24" s="12"/>
      <c r="AV24" s="13"/>
      <c r="AW24" s="11">
        <v>15</v>
      </c>
      <c r="AX24" s="12"/>
      <c r="AY24" s="13"/>
      <c r="AZ24" s="11" t="s">
        <v>143</v>
      </c>
      <c r="BA24" s="12"/>
      <c r="BB24" s="13"/>
      <c r="BC24" s="11" t="s">
        <v>144</v>
      </c>
      <c r="BD24" s="12"/>
      <c r="BE24" s="13"/>
      <c r="BF24" s="39"/>
      <c r="BG24" s="7"/>
    </row>
    <row r="25" spans="1:59" ht="16.5" thickBot="1" x14ac:dyDescent="0.4">
      <c r="A25" s="4"/>
      <c r="B25" s="39"/>
      <c r="C25" s="14" t="s">
        <v>8</v>
      </c>
      <c r="D25" s="15"/>
      <c r="E25" s="16"/>
      <c r="F25" s="14">
        <v>25</v>
      </c>
      <c r="G25" s="15"/>
      <c r="H25" s="16"/>
      <c r="I25" s="11" t="s">
        <v>35</v>
      </c>
      <c r="J25" s="12"/>
      <c r="K25" s="13"/>
      <c r="L25" s="11" t="s">
        <v>36</v>
      </c>
      <c r="M25" s="12"/>
      <c r="N25" s="13"/>
      <c r="O25" s="39"/>
      <c r="P25" s="14" t="s">
        <v>8</v>
      </c>
      <c r="Q25" s="15"/>
      <c r="R25" s="16"/>
      <c r="S25" s="14">
        <v>25</v>
      </c>
      <c r="T25" s="15"/>
      <c r="U25" s="16"/>
      <c r="V25" s="11" t="s">
        <v>78</v>
      </c>
      <c r="W25" s="12"/>
      <c r="X25" s="13"/>
      <c r="Y25" s="11" t="s">
        <v>79</v>
      </c>
      <c r="Z25" s="12"/>
      <c r="AA25" s="13"/>
      <c r="AB25" s="39"/>
      <c r="AC25" s="7"/>
      <c r="AE25" s="4"/>
      <c r="AF25" s="39"/>
      <c r="AG25" s="14" t="s">
        <v>8</v>
      </c>
      <c r="AH25" s="15"/>
      <c r="AI25" s="16"/>
      <c r="AJ25" s="14">
        <v>25</v>
      </c>
      <c r="AK25" s="15"/>
      <c r="AL25" s="16"/>
      <c r="AM25" s="11" t="s">
        <v>145</v>
      </c>
      <c r="AN25" s="12"/>
      <c r="AO25" s="13"/>
      <c r="AP25" s="11" t="s">
        <v>146</v>
      </c>
      <c r="AQ25" s="12"/>
      <c r="AR25" s="13"/>
      <c r="AS25" s="39"/>
      <c r="AT25" s="14" t="s">
        <v>8</v>
      </c>
      <c r="AU25" s="15"/>
      <c r="AV25" s="16"/>
      <c r="AW25" s="14">
        <v>25</v>
      </c>
      <c r="AX25" s="15"/>
      <c r="AY25" s="16"/>
      <c r="AZ25" s="11" t="s">
        <v>147</v>
      </c>
      <c r="BA25" s="12"/>
      <c r="BB25" s="13"/>
      <c r="BC25" s="11" t="s">
        <v>148</v>
      </c>
      <c r="BD25" s="12"/>
      <c r="BE25" s="13"/>
      <c r="BF25" s="39"/>
      <c r="BG25" s="7"/>
    </row>
    <row r="26" spans="1:59" ht="15" thickBot="1" x14ac:dyDescent="0.4">
      <c r="A26" s="4"/>
      <c r="B26" s="39"/>
      <c r="C26" s="29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1"/>
      <c r="O26" s="39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  <c r="AB26" s="39"/>
      <c r="AC26" s="7"/>
      <c r="AE26" s="4"/>
      <c r="AF26" s="39"/>
      <c r="AG26" s="29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1"/>
      <c r="AS26" s="39"/>
      <c r="AT26" s="29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1"/>
      <c r="BF26" s="39"/>
      <c r="BG26" s="7"/>
    </row>
    <row r="27" spans="1:59" ht="16.5" thickBot="1" x14ac:dyDescent="0.4">
      <c r="A27" s="4"/>
      <c r="B27" s="39"/>
      <c r="C27" s="17" t="s">
        <v>1</v>
      </c>
      <c r="D27" s="18"/>
      <c r="E27" s="19"/>
      <c r="F27" s="20" t="s">
        <v>2</v>
      </c>
      <c r="G27" s="21"/>
      <c r="H27" s="22"/>
      <c r="I27" s="23" t="s">
        <v>3</v>
      </c>
      <c r="J27" s="24"/>
      <c r="K27" s="25"/>
      <c r="L27" s="26" t="s">
        <v>4</v>
      </c>
      <c r="M27" s="27"/>
      <c r="N27" s="28"/>
      <c r="O27" s="39"/>
      <c r="P27" s="17" t="s">
        <v>1</v>
      </c>
      <c r="Q27" s="18"/>
      <c r="R27" s="19"/>
      <c r="S27" s="20" t="s">
        <v>2</v>
      </c>
      <c r="T27" s="21"/>
      <c r="U27" s="22"/>
      <c r="V27" s="23" t="s">
        <v>3</v>
      </c>
      <c r="W27" s="24"/>
      <c r="X27" s="25"/>
      <c r="Y27" s="26" t="s">
        <v>4</v>
      </c>
      <c r="Z27" s="27"/>
      <c r="AA27" s="28"/>
      <c r="AB27" s="39"/>
      <c r="AC27" s="7"/>
      <c r="AE27" s="4"/>
      <c r="AF27" s="39"/>
      <c r="AG27" s="17" t="s">
        <v>1</v>
      </c>
      <c r="AH27" s="18"/>
      <c r="AI27" s="19"/>
      <c r="AJ27" s="20" t="s">
        <v>2</v>
      </c>
      <c r="AK27" s="21"/>
      <c r="AL27" s="22"/>
      <c r="AM27" s="23" t="s">
        <v>3</v>
      </c>
      <c r="AN27" s="24"/>
      <c r="AO27" s="25"/>
      <c r="AP27" s="26" t="s">
        <v>4</v>
      </c>
      <c r="AQ27" s="27"/>
      <c r="AR27" s="28"/>
      <c r="AS27" s="39"/>
      <c r="AT27" s="17" t="s">
        <v>1</v>
      </c>
      <c r="AU27" s="18"/>
      <c r="AV27" s="19"/>
      <c r="AW27" s="20" t="s">
        <v>2</v>
      </c>
      <c r="AX27" s="21"/>
      <c r="AY27" s="22"/>
      <c r="AZ27" s="23" t="s">
        <v>3</v>
      </c>
      <c r="BA27" s="24"/>
      <c r="BB27" s="25"/>
      <c r="BC27" s="26" t="s">
        <v>4</v>
      </c>
      <c r="BD27" s="27"/>
      <c r="BE27" s="28"/>
      <c r="BF27" s="39"/>
      <c r="BG27" s="7"/>
    </row>
    <row r="28" spans="1:59" ht="16.5" thickBot="1" x14ac:dyDescent="0.4">
      <c r="A28" s="4"/>
      <c r="B28" s="39"/>
      <c r="C28" s="11" t="s">
        <v>9</v>
      </c>
      <c r="D28" s="12"/>
      <c r="E28" s="13"/>
      <c r="F28" s="11">
        <v>2</v>
      </c>
      <c r="G28" s="12"/>
      <c r="H28" s="13"/>
      <c r="I28" s="11">
        <v>702</v>
      </c>
      <c r="J28" s="12"/>
      <c r="K28" s="13"/>
      <c r="L28" s="11" t="s">
        <v>28</v>
      </c>
      <c r="M28" s="12"/>
      <c r="N28" s="13"/>
      <c r="O28" s="39"/>
      <c r="P28" s="11" t="s">
        <v>9</v>
      </c>
      <c r="Q28" s="12"/>
      <c r="R28" s="13"/>
      <c r="S28" s="11">
        <v>2</v>
      </c>
      <c r="T28" s="12"/>
      <c r="U28" s="13"/>
      <c r="V28" s="11">
        <v>702</v>
      </c>
      <c r="W28" s="12"/>
      <c r="X28" s="13"/>
      <c r="Y28" s="11" t="s">
        <v>71</v>
      </c>
      <c r="Z28" s="12"/>
      <c r="AA28" s="13"/>
      <c r="AB28" s="39"/>
      <c r="AC28" s="7"/>
      <c r="AE28" s="4"/>
      <c r="AF28" s="39"/>
      <c r="AG28" s="11" t="s">
        <v>9</v>
      </c>
      <c r="AH28" s="12"/>
      <c r="AI28" s="13"/>
      <c r="AJ28" s="11">
        <v>2</v>
      </c>
      <c r="AK28" s="12"/>
      <c r="AL28" s="13"/>
      <c r="AM28" s="11">
        <v>702</v>
      </c>
      <c r="AN28" s="12"/>
      <c r="AO28" s="13"/>
      <c r="AP28" s="11" t="s">
        <v>28</v>
      </c>
      <c r="AQ28" s="12"/>
      <c r="AR28" s="13"/>
      <c r="AS28" s="39"/>
      <c r="AT28" s="11" t="s">
        <v>9</v>
      </c>
      <c r="AU28" s="12"/>
      <c r="AV28" s="13"/>
      <c r="AW28" s="11">
        <v>2</v>
      </c>
      <c r="AX28" s="12"/>
      <c r="AY28" s="13"/>
      <c r="AZ28" s="11">
        <v>702</v>
      </c>
      <c r="BA28" s="12"/>
      <c r="BB28" s="13"/>
      <c r="BC28" s="11" t="s">
        <v>71</v>
      </c>
      <c r="BD28" s="12"/>
      <c r="BE28" s="13"/>
      <c r="BF28" s="39"/>
      <c r="BG28" s="7"/>
    </row>
    <row r="29" spans="1:59" ht="16.5" thickBot="1" x14ac:dyDescent="0.4">
      <c r="A29" s="4"/>
      <c r="B29" s="39"/>
      <c r="C29" s="11" t="s">
        <v>9</v>
      </c>
      <c r="D29" s="12"/>
      <c r="E29" s="13"/>
      <c r="F29" s="11">
        <v>5</v>
      </c>
      <c r="G29" s="12"/>
      <c r="H29" s="13"/>
      <c r="I29" s="11" t="s">
        <v>37</v>
      </c>
      <c r="J29" s="12"/>
      <c r="K29" s="13"/>
      <c r="L29" s="11" t="s">
        <v>38</v>
      </c>
      <c r="M29" s="12"/>
      <c r="N29" s="13"/>
      <c r="O29" s="39"/>
      <c r="P29" s="11" t="s">
        <v>9</v>
      </c>
      <c r="Q29" s="12"/>
      <c r="R29" s="13"/>
      <c r="S29" s="11">
        <v>5</v>
      </c>
      <c r="T29" s="12"/>
      <c r="U29" s="13"/>
      <c r="V29" s="11" t="s">
        <v>80</v>
      </c>
      <c r="W29" s="12"/>
      <c r="X29" s="13"/>
      <c r="Y29" s="11" t="s">
        <v>81</v>
      </c>
      <c r="Z29" s="12"/>
      <c r="AA29" s="13"/>
      <c r="AB29" s="39"/>
      <c r="AC29" s="7"/>
      <c r="AE29" s="4"/>
      <c r="AF29" s="39"/>
      <c r="AG29" s="11" t="s">
        <v>9</v>
      </c>
      <c r="AH29" s="12"/>
      <c r="AI29" s="13"/>
      <c r="AJ29" s="11">
        <v>5</v>
      </c>
      <c r="AK29" s="12"/>
      <c r="AL29" s="13"/>
      <c r="AM29" s="11" t="s">
        <v>149</v>
      </c>
      <c r="AN29" s="12"/>
      <c r="AO29" s="13"/>
      <c r="AP29" s="11" t="s">
        <v>150</v>
      </c>
      <c r="AQ29" s="12"/>
      <c r="AR29" s="13"/>
      <c r="AS29" s="39"/>
      <c r="AT29" s="11" t="s">
        <v>9</v>
      </c>
      <c r="AU29" s="12"/>
      <c r="AV29" s="13"/>
      <c r="AW29" s="11">
        <v>5</v>
      </c>
      <c r="AX29" s="12"/>
      <c r="AY29" s="13"/>
      <c r="AZ29" s="11" t="s">
        <v>151</v>
      </c>
      <c r="BA29" s="12"/>
      <c r="BB29" s="13"/>
      <c r="BC29" s="11" t="s">
        <v>152</v>
      </c>
      <c r="BD29" s="12"/>
      <c r="BE29" s="13"/>
      <c r="BF29" s="39"/>
      <c r="BG29" s="7"/>
    </row>
    <row r="30" spans="1:59" ht="16.5" thickBot="1" x14ac:dyDescent="0.4">
      <c r="A30" s="4"/>
      <c r="B30" s="39"/>
      <c r="C30" s="11" t="s">
        <v>9</v>
      </c>
      <c r="D30" s="12"/>
      <c r="E30" s="13"/>
      <c r="F30" s="11">
        <v>9</v>
      </c>
      <c r="G30" s="12"/>
      <c r="H30" s="13"/>
      <c r="I30" s="11" t="s">
        <v>39</v>
      </c>
      <c r="J30" s="12"/>
      <c r="K30" s="13"/>
      <c r="L30" s="11" t="s">
        <v>40</v>
      </c>
      <c r="M30" s="12"/>
      <c r="N30" s="13"/>
      <c r="O30" s="39"/>
      <c r="P30" s="11" t="s">
        <v>9</v>
      </c>
      <c r="Q30" s="12"/>
      <c r="R30" s="13"/>
      <c r="S30" s="11">
        <v>9</v>
      </c>
      <c r="T30" s="12"/>
      <c r="U30" s="13"/>
      <c r="V30" s="11" t="s">
        <v>82</v>
      </c>
      <c r="W30" s="12"/>
      <c r="X30" s="13"/>
      <c r="Y30" s="11" t="s">
        <v>83</v>
      </c>
      <c r="Z30" s="12"/>
      <c r="AA30" s="13"/>
      <c r="AB30" s="39"/>
      <c r="AC30" s="7"/>
      <c r="AE30" s="4"/>
      <c r="AF30" s="39"/>
      <c r="AG30" s="11" t="s">
        <v>9</v>
      </c>
      <c r="AH30" s="12"/>
      <c r="AI30" s="13"/>
      <c r="AJ30" s="11">
        <v>9</v>
      </c>
      <c r="AK30" s="12"/>
      <c r="AL30" s="13"/>
      <c r="AM30" s="11" t="s">
        <v>153</v>
      </c>
      <c r="AN30" s="12"/>
      <c r="AO30" s="13"/>
      <c r="AP30" s="11" t="s">
        <v>154</v>
      </c>
      <c r="AQ30" s="12"/>
      <c r="AR30" s="13"/>
      <c r="AS30" s="39"/>
      <c r="AT30" s="11" t="s">
        <v>9</v>
      </c>
      <c r="AU30" s="12"/>
      <c r="AV30" s="13"/>
      <c r="AW30" s="11">
        <v>9</v>
      </c>
      <c r="AX30" s="12"/>
      <c r="AY30" s="13"/>
      <c r="AZ30" s="11" t="s">
        <v>155</v>
      </c>
      <c r="BA30" s="12"/>
      <c r="BB30" s="13"/>
      <c r="BC30" s="11" t="s">
        <v>156</v>
      </c>
      <c r="BD30" s="12"/>
      <c r="BE30" s="13"/>
      <c r="BF30" s="39"/>
      <c r="BG30" s="7"/>
    </row>
    <row r="31" spans="1:59" ht="16.5" thickBot="1" x14ac:dyDescent="0.4">
      <c r="A31" s="4"/>
      <c r="B31" s="39"/>
      <c r="C31" s="11" t="s">
        <v>9</v>
      </c>
      <c r="D31" s="12"/>
      <c r="E31" s="13"/>
      <c r="F31" s="11">
        <v>15</v>
      </c>
      <c r="G31" s="12"/>
      <c r="H31" s="13"/>
      <c r="I31" s="11" t="s">
        <v>41</v>
      </c>
      <c r="J31" s="12"/>
      <c r="K31" s="13"/>
      <c r="L31" s="11" t="s">
        <v>42</v>
      </c>
      <c r="M31" s="12"/>
      <c r="N31" s="13"/>
      <c r="O31" s="39"/>
      <c r="P31" s="11" t="s">
        <v>9</v>
      </c>
      <c r="Q31" s="12"/>
      <c r="R31" s="13"/>
      <c r="S31" s="11">
        <v>15</v>
      </c>
      <c r="T31" s="12"/>
      <c r="U31" s="13"/>
      <c r="V31" s="11" t="s">
        <v>84</v>
      </c>
      <c r="W31" s="12"/>
      <c r="X31" s="13"/>
      <c r="Y31" s="11" t="s">
        <v>85</v>
      </c>
      <c r="Z31" s="12"/>
      <c r="AA31" s="13"/>
      <c r="AB31" s="39"/>
      <c r="AC31" s="7"/>
      <c r="AE31" s="4"/>
      <c r="AF31" s="39"/>
      <c r="AG31" s="11" t="s">
        <v>9</v>
      </c>
      <c r="AH31" s="12"/>
      <c r="AI31" s="13"/>
      <c r="AJ31" s="11">
        <v>15</v>
      </c>
      <c r="AK31" s="12"/>
      <c r="AL31" s="13"/>
      <c r="AM31" s="11" t="s">
        <v>157</v>
      </c>
      <c r="AN31" s="12"/>
      <c r="AO31" s="13"/>
      <c r="AP31" s="11" t="s">
        <v>158</v>
      </c>
      <c r="AQ31" s="12"/>
      <c r="AR31" s="13"/>
      <c r="AS31" s="39"/>
      <c r="AT31" s="11" t="s">
        <v>9</v>
      </c>
      <c r="AU31" s="12"/>
      <c r="AV31" s="13"/>
      <c r="AW31" s="11">
        <v>15</v>
      </c>
      <c r="AX31" s="12"/>
      <c r="AY31" s="13"/>
      <c r="AZ31" s="11" t="s">
        <v>159</v>
      </c>
      <c r="BA31" s="12"/>
      <c r="BB31" s="13"/>
      <c r="BC31" s="11" t="s">
        <v>160</v>
      </c>
      <c r="BD31" s="12"/>
      <c r="BE31" s="13"/>
      <c r="BF31" s="39"/>
      <c r="BG31" s="7"/>
    </row>
    <row r="32" spans="1:59" ht="16.5" thickBot="1" x14ac:dyDescent="0.4">
      <c r="A32" s="4"/>
      <c r="B32" s="39"/>
      <c r="C32" s="11" t="s">
        <v>9</v>
      </c>
      <c r="D32" s="12"/>
      <c r="E32" s="13"/>
      <c r="F32" s="14">
        <v>25</v>
      </c>
      <c r="G32" s="15"/>
      <c r="H32" s="16"/>
      <c r="I32" s="11" t="s">
        <v>43</v>
      </c>
      <c r="J32" s="12"/>
      <c r="K32" s="13"/>
      <c r="L32" s="11" t="s">
        <v>44</v>
      </c>
      <c r="M32" s="12"/>
      <c r="N32" s="13"/>
      <c r="O32" s="39"/>
      <c r="P32" s="11" t="s">
        <v>9</v>
      </c>
      <c r="Q32" s="12"/>
      <c r="R32" s="13"/>
      <c r="S32" s="14">
        <v>25</v>
      </c>
      <c r="T32" s="15"/>
      <c r="U32" s="16"/>
      <c r="V32" s="11" t="s">
        <v>86</v>
      </c>
      <c r="W32" s="12"/>
      <c r="X32" s="13"/>
      <c r="Y32" s="11" t="s">
        <v>87</v>
      </c>
      <c r="Z32" s="12"/>
      <c r="AA32" s="13"/>
      <c r="AB32" s="39"/>
      <c r="AC32" s="7"/>
      <c r="AE32" s="4"/>
      <c r="AF32" s="39"/>
      <c r="AG32" s="11" t="s">
        <v>9</v>
      </c>
      <c r="AH32" s="12"/>
      <c r="AI32" s="13"/>
      <c r="AJ32" s="14">
        <v>25</v>
      </c>
      <c r="AK32" s="15"/>
      <c r="AL32" s="16"/>
      <c r="AM32" s="11" t="s">
        <v>161</v>
      </c>
      <c r="AN32" s="12"/>
      <c r="AO32" s="13"/>
      <c r="AP32" s="11" t="s">
        <v>162</v>
      </c>
      <c r="AQ32" s="12"/>
      <c r="AR32" s="13"/>
      <c r="AS32" s="39"/>
      <c r="AT32" s="11" t="s">
        <v>9</v>
      </c>
      <c r="AU32" s="12"/>
      <c r="AV32" s="13"/>
      <c r="AW32" s="14">
        <v>25</v>
      </c>
      <c r="AX32" s="15"/>
      <c r="AY32" s="16"/>
      <c r="AZ32" s="11" t="s">
        <v>163</v>
      </c>
      <c r="BA32" s="12"/>
      <c r="BB32" s="13"/>
      <c r="BC32" s="11" t="s">
        <v>164</v>
      </c>
      <c r="BD32" s="12"/>
      <c r="BE32" s="13"/>
      <c r="BF32" s="39"/>
      <c r="BG32" s="7"/>
    </row>
    <row r="33" spans="1:59" ht="15" thickBot="1" x14ac:dyDescent="0.4">
      <c r="A33" s="4"/>
      <c r="B33" s="39"/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9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1"/>
      <c r="AB33" s="39"/>
      <c r="AC33" s="7"/>
      <c r="AE33" s="4"/>
      <c r="AF33" s="39"/>
      <c r="AG33" s="29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1"/>
      <c r="AS33" s="39"/>
      <c r="AT33" s="29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1"/>
      <c r="BF33" s="39"/>
      <c r="BG33" s="7"/>
    </row>
    <row r="34" spans="1:59" ht="16.5" thickBot="1" x14ac:dyDescent="0.4">
      <c r="A34" s="4"/>
      <c r="B34" s="39"/>
      <c r="C34" s="17" t="s">
        <v>1</v>
      </c>
      <c r="D34" s="18"/>
      <c r="E34" s="19"/>
      <c r="F34" s="20" t="s">
        <v>2</v>
      </c>
      <c r="G34" s="21"/>
      <c r="H34" s="22"/>
      <c r="I34" s="23" t="s">
        <v>3</v>
      </c>
      <c r="J34" s="24"/>
      <c r="K34" s="25"/>
      <c r="L34" s="26" t="s">
        <v>4</v>
      </c>
      <c r="M34" s="27"/>
      <c r="N34" s="28"/>
      <c r="O34" s="39"/>
      <c r="P34" s="17" t="s">
        <v>1</v>
      </c>
      <c r="Q34" s="18"/>
      <c r="R34" s="19"/>
      <c r="S34" s="20" t="s">
        <v>2</v>
      </c>
      <c r="T34" s="21"/>
      <c r="U34" s="22"/>
      <c r="V34" s="23" t="s">
        <v>3</v>
      </c>
      <c r="W34" s="24"/>
      <c r="X34" s="25"/>
      <c r="Y34" s="26" t="s">
        <v>4</v>
      </c>
      <c r="Z34" s="27"/>
      <c r="AA34" s="28"/>
      <c r="AB34" s="39"/>
      <c r="AC34" s="7"/>
      <c r="AE34" s="4"/>
      <c r="AF34" s="39"/>
      <c r="AG34" s="17" t="s">
        <v>1</v>
      </c>
      <c r="AH34" s="18"/>
      <c r="AI34" s="19"/>
      <c r="AJ34" s="20" t="s">
        <v>2</v>
      </c>
      <c r="AK34" s="21"/>
      <c r="AL34" s="22"/>
      <c r="AM34" s="23" t="s">
        <v>3</v>
      </c>
      <c r="AN34" s="24"/>
      <c r="AO34" s="25"/>
      <c r="AP34" s="26" t="s">
        <v>4</v>
      </c>
      <c r="AQ34" s="27"/>
      <c r="AR34" s="28"/>
      <c r="AS34" s="39"/>
      <c r="AT34" s="17" t="s">
        <v>1</v>
      </c>
      <c r="AU34" s="18"/>
      <c r="AV34" s="19"/>
      <c r="AW34" s="20" t="s">
        <v>2</v>
      </c>
      <c r="AX34" s="21"/>
      <c r="AY34" s="22"/>
      <c r="AZ34" s="23" t="s">
        <v>3</v>
      </c>
      <c r="BA34" s="24"/>
      <c r="BB34" s="25"/>
      <c r="BC34" s="26" t="s">
        <v>4</v>
      </c>
      <c r="BD34" s="27"/>
      <c r="BE34" s="28"/>
      <c r="BF34" s="39"/>
      <c r="BG34" s="7"/>
    </row>
    <row r="35" spans="1:59" ht="16.5" thickBot="1" x14ac:dyDescent="0.4">
      <c r="A35" s="4"/>
      <c r="B35" s="39"/>
      <c r="C35" s="11" t="s">
        <v>10</v>
      </c>
      <c r="D35" s="12"/>
      <c r="E35" s="13"/>
      <c r="F35" s="11">
        <v>2</v>
      </c>
      <c r="G35" s="12"/>
      <c r="H35" s="13"/>
      <c r="I35" s="11">
        <v>702</v>
      </c>
      <c r="J35" s="12"/>
      <c r="K35" s="13"/>
      <c r="L35" s="11" t="s">
        <v>28</v>
      </c>
      <c r="M35" s="12"/>
      <c r="N35" s="13"/>
      <c r="O35" s="39"/>
      <c r="P35" s="11" t="s">
        <v>10</v>
      </c>
      <c r="Q35" s="12"/>
      <c r="R35" s="13"/>
      <c r="S35" s="11">
        <v>2</v>
      </c>
      <c r="T35" s="12"/>
      <c r="U35" s="13"/>
      <c r="V35" s="11">
        <v>702</v>
      </c>
      <c r="W35" s="12"/>
      <c r="X35" s="13"/>
      <c r="Y35" s="11" t="s">
        <v>71</v>
      </c>
      <c r="Z35" s="12"/>
      <c r="AA35" s="13"/>
      <c r="AB35" s="39"/>
      <c r="AC35" s="7"/>
      <c r="AE35" s="4"/>
      <c r="AF35" s="39"/>
      <c r="AG35" s="11" t="s">
        <v>10</v>
      </c>
      <c r="AH35" s="12"/>
      <c r="AI35" s="13"/>
      <c r="AJ35" s="11">
        <v>2</v>
      </c>
      <c r="AK35" s="12"/>
      <c r="AL35" s="13"/>
      <c r="AM35" s="11">
        <v>702</v>
      </c>
      <c r="AN35" s="12"/>
      <c r="AO35" s="13"/>
      <c r="AP35" s="11" t="s">
        <v>28</v>
      </c>
      <c r="AQ35" s="12"/>
      <c r="AR35" s="13"/>
      <c r="AS35" s="39"/>
      <c r="AT35" s="11" t="s">
        <v>10</v>
      </c>
      <c r="AU35" s="12"/>
      <c r="AV35" s="13"/>
      <c r="AW35" s="11">
        <v>2</v>
      </c>
      <c r="AX35" s="12"/>
      <c r="AY35" s="13"/>
      <c r="AZ35" s="11">
        <v>702</v>
      </c>
      <c r="BA35" s="12"/>
      <c r="BB35" s="13"/>
      <c r="BC35" s="11" t="s">
        <v>71</v>
      </c>
      <c r="BD35" s="12"/>
      <c r="BE35" s="13"/>
      <c r="BF35" s="39"/>
      <c r="BG35" s="7"/>
    </row>
    <row r="36" spans="1:59" ht="16.5" thickBot="1" x14ac:dyDescent="0.4">
      <c r="A36" s="4"/>
      <c r="B36" s="39"/>
      <c r="C36" s="11" t="s">
        <v>10</v>
      </c>
      <c r="D36" s="12"/>
      <c r="E36" s="13"/>
      <c r="F36" s="11">
        <v>5</v>
      </c>
      <c r="G36" s="12"/>
      <c r="H36" s="13"/>
      <c r="I36" s="11" t="s">
        <v>45</v>
      </c>
      <c r="J36" s="12"/>
      <c r="K36" s="13"/>
      <c r="L36" s="11" t="s">
        <v>46</v>
      </c>
      <c r="M36" s="12"/>
      <c r="N36" s="13"/>
      <c r="O36" s="39"/>
      <c r="P36" s="11" t="s">
        <v>10</v>
      </c>
      <c r="Q36" s="12"/>
      <c r="R36" s="13"/>
      <c r="S36" s="11">
        <v>5</v>
      </c>
      <c r="T36" s="12"/>
      <c r="U36" s="13"/>
      <c r="V36" s="11" t="s">
        <v>88</v>
      </c>
      <c r="W36" s="12"/>
      <c r="X36" s="13"/>
      <c r="Y36" s="11" t="s">
        <v>89</v>
      </c>
      <c r="Z36" s="12"/>
      <c r="AA36" s="13"/>
      <c r="AB36" s="39"/>
      <c r="AC36" s="7"/>
      <c r="AE36" s="4"/>
      <c r="AF36" s="39"/>
      <c r="AG36" s="11" t="s">
        <v>10</v>
      </c>
      <c r="AH36" s="12"/>
      <c r="AI36" s="13"/>
      <c r="AJ36" s="11">
        <v>5</v>
      </c>
      <c r="AK36" s="12"/>
      <c r="AL36" s="13"/>
      <c r="AM36" s="11" t="s">
        <v>165</v>
      </c>
      <c r="AN36" s="12"/>
      <c r="AO36" s="13"/>
      <c r="AP36" s="11" t="s">
        <v>166</v>
      </c>
      <c r="AQ36" s="12"/>
      <c r="AR36" s="13"/>
      <c r="AS36" s="39"/>
      <c r="AT36" s="11" t="s">
        <v>10</v>
      </c>
      <c r="AU36" s="12"/>
      <c r="AV36" s="13"/>
      <c r="AW36" s="11">
        <v>5</v>
      </c>
      <c r="AX36" s="12"/>
      <c r="AY36" s="13"/>
      <c r="AZ36" s="11" t="s">
        <v>167</v>
      </c>
      <c r="BA36" s="12"/>
      <c r="BB36" s="13"/>
      <c r="BC36" s="11" t="s">
        <v>168</v>
      </c>
      <c r="BD36" s="12"/>
      <c r="BE36" s="13"/>
      <c r="BF36" s="39"/>
      <c r="BG36" s="7"/>
    </row>
    <row r="37" spans="1:59" ht="16.5" thickBot="1" x14ac:dyDescent="0.4">
      <c r="A37" s="4"/>
      <c r="B37" s="39"/>
      <c r="C37" s="11" t="s">
        <v>10</v>
      </c>
      <c r="D37" s="12"/>
      <c r="E37" s="13"/>
      <c r="F37" s="11">
        <v>9</v>
      </c>
      <c r="G37" s="12"/>
      <c r="H37" s="13"/>
      <c r="I37" s="11" t="s">
        <v>47</v>
      </c>
      <c r="J37" s="12"/>
      <c r="K37" s="13"/>
      <c r="L37" s="11" t="s">
        <v>48</v>
      </c>
      <c r="M37" s="12"/>
      <c r="N37" s="13"/>
      <c r="O37" s="39"/>
      <c r="P37" s="11" t="s">
        <v>10</v>
      </c>
      <c r="Q37" s="12"/>
      <c r="R37" s="13"/>
      <c r="S37" s="11">
        <v>9</v>
      </c>
      <c r="T37" s="12"/>
      <c r="U37" s="13"/>
      <c r="V37" s="11" t="s">
        <v>90</v>
      </c>
      <c r="W37" s="12"/>
      <c r="X37" s="13"/>
      <c r="Y37" s="11" t="s">
        <v>91</v>
      </c>
      <c r="Z37" s="12"/>
      <c r="AA37" s="13"/>
      <c r="AB37" s="39"/>
      <c r="AC37" s="7"/>
      <c r="AE37" s="4"/>
      <c r="AF37" s="39"/>
      <c r="AG37" s="11" t="s">
        <v>10</v>
      </c>
      <c r="AH37" s="12"/>
      <c r="AI37" s="13"/>
      <c r="AJ37" s="11">
        <v>9</v>
      </c>
      <c r="AK37" s="12"/>
      <c r="AL37" s="13"/>
      <c r="AM37" s="11" t="s">
        <v>169</v>
      </c>
      <c r="AN37" s="12"/>
      <c r="AO37" s="13"/>
      <c r="AP37" s="11" t="s">
        <v>170</v>
      </c>
      <c r="AQ37" s="12"/>
      <c r="AR37" s="13"/>
      <c r="AS37" s="39"/>
      <c r="AT37" s="11" t="s">
        <v>10</v>
      </c>
      <c r="AU37" s="12"/>
      <c r="AV37" s="13"/>
      <c r="AW37" s="11">
        <v>9</v>
      </c>
      <c r="AX37" s="12"/>
      <c r="AY37" s="13"/>
      <c r="AZ37" s="11" t="s">
        <v>171</v>
      </c>
      <c r="BA37" s="12"/>
      <c r="BB37" s="13"/>
      <c r="BC37" s="11" t="s">
        <v>172</v>
      </c>
      <c r="BD37" s="12"/>
      <c r="BE37" s="13"/>
      <c r="BF37" s="39"/>
      <c r="BG37" s="7"/>
    </row>
    <row r="38" spans="1:59" ht="16.5" thickBot="1" x14ac:dyDescent="0.4">
      <c r="A38" s="4"/>
      <c r="B38" s="39"/>
      <c r="C38" s="11" t="s">
        <v>10</v>
      </c>
      <c r="D38" s="12"/>
      <c r="E38" s="13"/>
      <c r="F38" s="11">
        <v>15</v>
      </c>
      <c r="G38" s="12"/>
      <c r="H38" s="13"/>
      <c r="I38" s="11" t="s">
        <v>49</v>
      </c>
      <c r="J38" s="12"/>
      <c r="K38" s="13"/>
      <c r="L38" s="11" t="s">
        <v>50</v>
      </c>
      <c r="M38" s="12"/>
      <c r="N38" s="13"/>
      <c r="O38" s="39"/>
      <c r="P38" s="11" t="s">
        <v>10</v>
      </c>
      <c r="Q38" s="12"/>
      <c r="R38" s="13"/>
      <c r="S38" s="11">
        <v>15</v>
      </c>
      <c r="T38" s="12"/>
      <c r="U38" s="13"/>
      <c r="V38" s="11" t="s">
        <v>92</v>
      </c>
      <c r="W38" s="12"/>
      <c r="X38" s="13"/>
      <c r="Y38" s="11" t="s">
        <v>93</v>
      </c>
      <c r="Z38" s="12"/>
      <c r="AA38" s="13"/>
      <c r="AB38" s="39"/>
      <c r="AC38" s="7"/>
      <c r="AE38" s="4"/>
      <c r="AF38" s="39"/>
      <c r="AG38" s="11" t="s">
        <v>10</v>
      </c>
      <c r="AH38" s="12"/>
      <c r="AI38" s="13"/>
      <c r="AJ38" s="11">
        <v>15</v>
      </c>
      <c r="AK38" s="12"/>
      <c r="AL38" s="13"/>
      <c r="AM38" s="11" t="s">
        <v>173</v>
      </c>
      <c r="AN38" s="12"/>
      <c r="AO38" s="13"/>
      <c r="AP38" s="11" t="s">
        <v>174</v>
      </c>
      <c r="AQ38" s="12"/>
      <c r="AR38" s="13"/>
      <c r="AS38" s="39"/>
      <c r="AT38" s="11" t="s">
        <v>10</v>
      </c>
      <c r="AU38" s="12"/>
      <c r="AV38" s="13"/>
      <c r="AW38" s="11">
        <v>15</v>
      </c>
      <c r="AX38" s="12"/>
      <c r="AY38" s="13"/>
      <c r="AZ38" s="11" t="s">
        <v>175</v>
      </c>
      <c r="BA38" s="12"/>
      <c r="BB38" s="13"/>
      <c r="BC38" s="11" t="s">
        <v>176</v>
      </c>
      <c r="BD38" s="12"/>
      <c r="BE38" s="13"/>
      <c r="BF38" s="39"/>
      <c r="BG38" s="7"/>
    </row>
    <row r="39" spans="1:59" ht="16.5" thickBot="1" x14ac:dyDescent="0.4">
      <c r="A39" s="4"/>
      <c r="B39" s="39"/>
      <c r="C39" s="11" t="s">
        <v>10</v>
      </c>
      <c r="D39" s="12"/>
      <c r="E39" s="13"/>
      <c r="F39" s="14">
        <v>25</v>
      </c>
      <c r="G39" s="15"/>
      <c r="H39" s="16"/>
      <c r="I39" s="11" t="s">
        <v>51</v>
      </c>
      <c r="J39" s="12"/>
      <c r="K39" s="13"/>
      <c r="L39" s="11" t="s">
        <v>52</v>
      </c>
      <c r="M39" s="12"/>
      <c r="N39" s="13"/>
      <c r="O39" s="39"/>
      <c r="P39" s="11" t="s">
        <v>10</v>
      </c>
      <c r="Q39" s="12"/>
      <c r="R39" s="13"/>
      <c r="S39" s="14">
        <v>25</v>
      </c>
      <c r="T39" s="15"/>
      <c r="U39" s="16"/>
      <c r="V39" s="11" t="s">
        <v>94</v>
      </c>
      <c r="W39" s="12"/>
      <c r="X39" s="13"/>
      <c r="Y39" s="11" t="s">
        <v>95</v>
      </c>
      <c r="Z39" s="12"/>
      <c r="AA39" s="13"/>
      <c r="AB39" s="39"/>
      <c r="AC39" s="7"/>
      <c r="AE39" s="4"/>
      <c r="AF39" s="39"/>
      <c r="AG39" s="11" t="s">
        <v>10</v>
      </c>
      <c r="AH39" s="12"/>
      <c r="AI39" s="13"/>
      <c r="AJ39" s="14">
        <v>25</v>
      </c>
      <c r="AK39" s="15"/>
      <c r="AL39" s="16"/>
      <c r="AM39" s="11" t="s">
        <v>177</v>
      </c>
      <c r="AN39" s="12"/>
      <c r="AO39" s="13"/>
      <c r="AP39" s="11" t="s">
        <v>178</v>
      </c>
      <c r="AQ39" s="12"/>
      <c r="AR39" s="13"/>
      <c r="AS39" s="39"/>
      <c r="AT39" s="11" t="s">
        <v>10</v>
      </c>
      <c r="AU39" s="12"/>
      <c r="AV39" s="13"/>
      <c r="AW39" s="14">
        <v>25</v>
      </c>
      <c r="AX39" s="15"/>
      <c r="AY39" s="16"/>
      <c r="AZ39" s="11" t="s">
        <v>179</v>
      </c>
      <c r="BA39" s="12"/>
      <c r="BB39" s="13"/>
      <c r="BC39" s="11" t="s">
        <v>180</v>
      </c>
      <c r="BD39" s="12"/>
      <c r="BE39" s="13"/>
      <c r="BF39" s="39"/>
      <c r="BG39" s="7"/>
    </row>
    <row r="40" spans="1:59" x14ac:dyDescent="0.35">
      <c r="A40" s="4"/>
      <c r="B40" s="3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9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9"/>
      <c r="AC40" s="7"/>
      <c r="AE40" s="4"/>
      <c r="AF40" s="39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39"/>
      <c r="BG40" s="7"/>
    </row>
    <row r="41" spans="1:59" ht="14.5" customHeight="1" thickBot="1" x14ac:dyDescent="0.4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7"/>
      <c r="AE41" s="4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7"/>
    </row>
    <row r="42" spans="1:59" ht="14.5" customHeight="1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  <c r="AE42" s="4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6"/>
    </row>
    <row r="43" spans="1:59" ht="15" customHeight="1" x14ac:dyDescent="0.35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6"/>
      <c r="AE43" s="4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6"/>
    </row>
    <row r="44" spans="1:59" ht="15" thickBot="1" x14ac:dyDescent="0.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10"/>
      <c r="AE44" s="8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10"/>
    </row>
    <row r="45" spans="1:59" ht="15" thickBot="1" x14ac:dyDescent="0.4"/>
    <row r="46" spans="1:59" ht="14.5" customHeight="1" x14ac:dyDescent="0.35">
      <c r="V46">
        <v>548</v>
      </c>
      <c r="W46">
        <v>33440</v>
      </c>
      <c r="Z46">
        <v>3513</v>
      </c>
      <c r="AA46">
        <v>188404</v>
      </c>
      <c r="AC46">
        <v>1228240</v>
      </c>
      <c r="AE46" s="32" t="s">
        <v>243</v>
      </c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4"/>
    </row>
    <row r="47" spans="1:59" ht="14.5" customHeight="1" x14ac:dyDescent="0.35">
      <c r="V47">
        <v>699</v>
      </c>
      <c r="W47">
        <v>41532</v>
      </c>
      <c r="Z47">
        <v>15003</v>
      </c>
      <c r="AA47">
        <v>814652</v>
      </c>
      <c r="AC47">
        <v>6015572</v>
      </c>
      <c r="AE47" s="35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7"/>
    </row>
    <row r="48" spans="1:59" ht="15" customHeight="1" thickBot="1" x14ac:dyDescent="0.4">
      <c r="D48">
        <v>1000</v>
      </c>
      <c r="E48">
        <v>548</v>
      </c>
      <c r="F48">
        <v>56992</v>
      </c>
      <c r="O48">
        <v>1000</v>
      </c>
      <c r="P48">
        <v>3516</v>
      </c>
      <c r="Q48">
        <v>365664</v>
      </c>
      <c r="V48">
        <v>702</v>
      </c>
      <c r="W48">
        <v>41688</v>
      </c>
      <c r="Z48">
        <v>28201</v>
      </c>
      <c r="AA48">
        <v>1537476</v>
      </c>
      <c r="AC48">
        <v>11937460</v>
      </c>
      <c r="AE48" s="35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7"/>
    </row>
    <row r="49" spans="4:59" x14ac:dyDescent="0.35">
      <c r="D49">
        <v>5000</v>
      </c>
      <c r="E49">
        <v>699</v>
      </c>
      <c r="F49">
        <v>72696</v>
      </c>
      <c r="O49">
        <v>5000</v>
      </c>
      <c r="P49">
        <v>15008</v>
      </c>
      <c r="Q49">
        <v>1560832</v>
      </c>
      <c r="V49">
        <v>702</v>
      </c>
      <c r="W49">
        <v>41688</v>
      </c>
      <c r="Z49">
        <v>207596</v>
      </c>
      <c r="AA49">
        <v>11460096</v>
      </c>
      <c r="AC49">
        <v>115460508</v>
      </c>
      <c r="AE49" s="4"/>
      <c r="AF49" s="2"/>
      <c r="AG49" s="40" t="s">
        <v>0</v>
      </c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2"/>
      <c r="AT49" s="40" t="s">
        <v>53</v>
      </c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2"/>
      <c r="BG49" s="7"/>
    </row>
    <row r="50" spans="4:59" ht="15" thickBot="1" x14ac:dyDescent="0.4">
      <c r="D50">
        <v>10000</v>
      </c>
      <c r="E50">
        <v>702</v>
      </c>
      <c r="F50">
        <v>73008</v>
      </c>
      <c r="O50">
        <v>10000</v>
      </c>
      <c r="P50">
        <v>28216</v>
      </c>
      <c r="Q50">
        <v>2934464</v>
      </c>
      <c r="V50">
        <v>702</v>
      </c>
      <c r="W50">
        <v>41688</v>
      </c>
      <c r="Z50">
        <v>810356</v>
      </c>
      <c r="AA50">
        <v>45058544</v>
      </c>
      <c r="AC50">
        <v>565078428</v>
      </c>
      <c r="AE50" s="4"/>
      <c r="AF50" s="39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39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39"/>
      <c r="BG50" s="7"/>
    </row>
    <row r="51" spans="4:59" ht="16.5" thickBot="1" x14ac:dyDescent="0.4">
      <c r="D51">
        <v>100000</v>
      </c>
      <c r="E51">
        <v>702</v>
      </c>
      <c r="F51">
        <v>73008</v>
      </c>
      <c r="O51">
        <v>100000</v>
      </c>
      <c r="P51">
        <v>207709</v>
      </c>
      <c r="Q51">
        <v>21601736</v>
      </c>
      <c r="AE51" s="4"/>
      <c r="AF51" s="39"/>
      <c r="AG51" s="17" t="s">
        <v>1</v>
      </c>
      <c r="AH51" s="18"/>
      <c r="AI51" s="19"/>
      <c r="AJ51" s="20" t="s">
        <v>2</v>
      </c>
      <c r="AK51" s="21"/>
      <c r="AL51" s="22"/>
      <c r="AM51" s="23" t="s">
        <v>3</v>
      </c>
      <c r="AN51" s="24"/>
      <c r="AO51" s="25"/>
      <c r="AP51" s="26" t="s">
        <v>4</v>
      </c>
      <c r="AQ51" s="27"/>
      <c r="AR51" s="28"/>
      <c r="AS51" s="39"/>
      <c r="AT51" s="17" t="s">
        <v>1</v>
      </c>
      <c r="AU51" s="18"/>
      <c r="AV51" s="19"/>
      <c r="AW51" s="20" t="s">
        <v>2</v>
      </c>
      <c r="AX51" s="21"/>
      <c r="AY51" s="22"/>
      <c r="AZ51" s="23" t="s">
        <v>3</v>
      </c>
      <c r="BA51" s="24"/>
      <c r="BB51" s="25"/>
      <c r="BC51" s="26" t="s">
        <v>4</v>
      </c>
      <c r="BD51" s="27"/>
      <c r="BE51" s="28"/>
      <c r="BF51" s="39"/>
      <c r="BG51" s="7"/>
    </row>
    <row r="52" spans="4:59" ht="16.5" thickBot="1" x14ac:dyDescent="0.4">
      <c r="D52">
        <v>500000</v>
      </c>
      <c r="E52">
        <v>702</v>
      </c>
      <c r="F52">
        <v>73008</v>
      </c>
      <c r="O52">
        <v>500000</v>
      </c>
      <c r="P52">
        <v>811710</v>
      </c>
      <c r="Q52">
        <v>84417840</v>
      </c>
      <c r="AE52" s="4"/>
      <c r="AF52" s="39"/>
      <c r="AG52" s="11" t="s">
        <v>6</v>
      </c>
      <c r="AH52" s="12"/>
      <c r="AI52" s="13"/>
      <c r="AJ52" s="11">
        <v>2</v>
      </c>
      <c r="AK52" s="12"/>
      <c r="AL52" s="13"/>
      <c r="AM52" s="11">
        <v>547.5</v>
      </c>
      <c r="AN52" s="12"/>
      <c r="AO52" s="13"/>
      <c r="AP52" s="11" t="s">
        <v>301</v>
      </c>
      <c r="AQ52" s="12"/>
      <c r="AR52" s="13"/>
      <c r="AS52" s="39"/>
      <c r="AT52" s="11" t="s">
        <v>6</v>
      </c>
      <c r="AU52" s="12"/>
      <c r="AV52" s="13"/>
      <c r="AW52" s="11">
        <v>2</v>
      </c>
      <c r="AX52" s="12"/>
      <c r="AY52" s="13"/>
      <c r="AZ52" s="11">
        <v>547.5</v>
      </c>
      <c r="BA52" s="12"/>
      <c r="BB52" s="13"/>
      <c r="BC52" s="11" t="s">
        <v>262</v>
      </c>
      <c r="BD52" s="12"/>
      <c r="BE52" s="13"/>
      <c r="BF52" s="39"/>
      <c r="BG52" s="7"/>
    </row>
    <row r="53" spans="4:59" ht="16.5" thickBot="1" x14ac:dyDescent="0.4">
      <c r="V53" t="s">
        <v>96</v>
      </c>
      <c r="W53">
        <v>369136</v>
      </c>
      <c r="Z53">
        <v>13510</v>
      </c>
      <c r="AA53">
        <v>708120</v>
      </c>
      <c r="AC53">
        <v>23516</v>
      </c>
      <c r="AE53" s="4"/>
      <c r="AF53" s="39"/>
      <c r="AG53" s="11" t="s">
        <v>6</v>
      </c>
      <c r="AH53" s="12"/>
      <c r="AI53" s="13"/>
      <c r="AJ53" s="11">
        <v>5</v>
      </c>
      <c r="AK53" s="12"/>
      <c r="AL53" s="13"/>
      <c r="AM53" s="11" t="s">
        <v>11</v>
      </c>
      <c r="AN53" s="12"/>
      <c r="AO53" s="13"/>
      <c r="AP53" s="11" t="s">
        <v>302</v>
      </c>
      <c r="AQ53" s="12"/>
      <c r="AR53" s="13"/>
      <c r="AS53" s="39"/>
      <c r="AT53" s="11" t="s">
        <v>6</v>
      </c>
      <c r="AU53" s="12"/>
      <c r="AV53" s="13"/>
      <c r="AW53" s="11">
        <v>5</v>
      </c>
      <c r="AX53" s="12"/>
      <c r="AY53" s="13"/>
      <c r="AZ53" s="11" t="s">
        <v>55</v>
      </c>
      <c r="BA53" s="12"/>
      <c r="BB53" s="13"/>
      <c r="BC53" s="11" t="s">
        <v>263</v>
      </c>
      <c r="BD53" s="12"/>
      <c r="BE53" s="13"/>
      <c r="BF53" s="39"/>
      <c r="BG53" s="7"/>
    </row>
    <row r="54" spans="4:59" ht="16.5" thickBot="1" x14ac:dyDescent="0.4">
      <c r="V54">
        <v>35027</v>
      </c>
      <c r="W54">
        <v>1855788</v>
      </c>
      <c r="Z54">
        <v>65034</v>
      </c>
      <c r="AA54">
        <v>3417304</v>
      </c>
      <c r="AC54">
        <v>115009</v>
      </c>
      <c r="AE54" s="4"/>
      <c r="AF54" s="39"/>
      <c r="AG54" s="11" t="s">
        <v>6</v>
      </c>
      <c r="AH54" s="12"/>
      <c r="AI54" s="13"/>
      <c r="AJ54" s="11">
        <v>9</v>
      </c>
      <c r="AK54" s="12"/>
      <c r="AL54" s="13"/>
      <c r="AM54" s="11" t="s">
        <v>244</v>
      </c>
      <c r="AN54" s="12"/>
      <c r="AO54" s="13"/>
      <c r="AP54" s="11" t="s">
        <v>303</v>
      </c>
      <c r="AQ54" s="12"/>
      <c r="AR54" s="13"/>
      <c r="AS54" s="39"/>
      <c r="AT54" s="11" t="s">
        <v>6</v>
      </c>
      <c r="AU54" s="12"/>
      <c r="AV54" s="13"/>
      <c r="AW54" s="11">
        <v>9</v>
      </c>
      <c r="AX54" s="12"/>
      <c r="AY54" s="13"/>
      <c r="AZ54" s="11" t="s">
        <v>244</v>
      </c>
      <c r="BA54" s="12"/>
      <c r="BB54" s="13"/>
      <c r="BC54" s="11" t="s">
        <v>264</v>
      </c>
      <c r="BD54" s="12"/>
      <c r="BE54" s="13"/>
      <c r="BF54" s="39"/>
      <c r="BG54" s="7"/>
    </row>
    <row r="55" spans="4:59" ht="16.5" thickBot="1" x14ac:dyDescent="0.4">
      <c r="V55">
        <v>68176</v>
      </c>
      <c r="W55">
        <v>3616064</v>
      </c>
      <c r="Z55">
        <v>128258</v>
      </c>
      <c r="AA55">
        <v>6740264</v>
      </c>
      <c r="AC55">
        <v>228197</v>
      </c>
      <c r="AE55" s="4"/>
      <c r="AF55" s="39"/>
      <c r="AG55" s="11" t="s">
        <v>6</v>
      </c>
      <c r="AH55" s="12"/>
      <c r="AI55" s="13"/>
      <c r="AJ55" s="11">
        <v>15</v>
      </c>
      <c r="AK55" s="12"/>
      <c r="AL55" s="13"/>
      <c r="AM55" s="11" t="s">
        <v>284</v>
      </c>
      <c r="AN55" s="12"/>
      <c r="AO55" s="13"/>
      <c r="AP55" s="11" t="s">
        <v>304</v>
      </c>
      <c r="AQ55" s="12"/>
      <c r="AR55" s="13"/>
      <c r="AS55" s="39"/>
      <c r="AT55" s="11" t="s">
        <v>6</v>
      </c>
      <c r="AU55" s="12"/>
      <c r="AV55" s="13"/>
      <c r="AW55" s="11">
        <v>15</v>
      </c>
      <c r="AX55" s="12"/>
      <c r="AY55" s="13"/>
      <c r="AZ55" s="11" t="s">
        <v>245</v>
      </c>
      <c r="BA55" s="12"/>
      <c r="BB55" s="13"/>
      <c r="BC55" s="11" t="s">
        <v>265</v>
      </c>
      <c r="BD55" s="12"/>
      <c r="BE55" s="13"/>
      <c r="BF55" s="39"/>
      <c r="BG55" s="7"/>
    </row>
    <row r="56" spans="4:59" ht="16.5" thickBot="1" x14ac:dyDescent="0.4">
      <c r="V56">
        <v>607466</v>
      </c>
      <c r="W56">
        <v>32251704</v>
      </c>
      <c r="Z56">
        <v>1207298</v>
      </c>
      <c r="AA56">
        <v>63440856</v>
      </c>
      <c r="AC56">
        <v>2207595</v>
      </c>
      <c r="AE56" s="4"/>
      <c r="AF56" s="39"/>
      <c r="AG56" s="11" t="s">
        <v>6</v>
      </c>
      <c r="AH56" s="12"/>
      <c r="AI56" s="13"/>
      <c r="AJ56" s="14">
        <v>25</v>
      </c>
      <c r="AK56" s="15"/>
      <c r="AL56" s="16"/>
      <c r="AM56" s="11" t="s">
        <v>285</v>
      </c>
      <c r="AN56" s="12"/>
      <c r="AO56" s="13"/>
      <c r="AP56" s="11" t="s">
        <v>305</v>
      </c>
      <c r="AQ56" s="12"/>
      <c r="AR56" s="13"/>
      <c r="AS56" s="39"/>
      <c r="AT56" s="11" t="s">
        <v>6</v>
      </c>
      <c r="AU56" s="12"/>
      <c r="AV56" s="13"/>
      <c r="AW56" s="14">
        <v>25</v>
      </c>
      <c r="AX56" s="15"/>
      <c r="AY56" s="16"/>
      <c r="AZ56" s="11">
        <v>23523.5</v>
      </c>
      <c r="BA56" s="12"/>
      <c r="BB56" s="13"/>
      <c r="BC56" s="11" t="s">
        <v>266</v>
      </c>
      <c r="BD56" s="12"/>
      <c r="BE56" s="13"/>
      <c r="BF56" s="39"/>
      <c r="BG56" s="7"/>
    </row>
    <row r="57" spans="4:59" ht="15" thickBot="1" x14ac:dyDescent="0.4">
      <c r="V57">
        <v>2809979</v>
      </c>
      <c r="W57">
        <v>139044860</v>
      </c>
      <c r="Z57">
        <v>5810398</v>
      </c>
      <c r="AA57">
        <v>305064008</v>
      </c>
      <c r="AC57">
        <v>10810583</v>
      </c>
      <c r="AE57" s="4"/>
      <c r="AF57" s="39"/>
      <c r="AG57" s="29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1"/>
      <c r="AS57" s="39"/>
      <c r="AT57" s="29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1"/>
      <c r="BF57" s="39"/>
      <c r="BG57" s="7"/>
    </row>
    <row r="58" spans="4:59" ht="16.5" thickBot="1" x14ac:dyDescent="0.4">
      <c r="AE58" s="4"/>
      <c r="AF58" s="39"/>
      <c r="AG58" s="17" t="s">
        <v>1</v>
      </c>
      <c r="AH58" s="18"/>
      <c r="AI58" s="19"/>
      <c r="AJ58" s="20" t="s">
        <v>2</v>
      </c>
      <c r="AK58" s="21"/>
      <c r="AL58" s="22"/>
      <c r="AM58" s="23" t="s">
        <v>3</v>
      </c>
      <c r="AN58" s="24"/>
      <c r="AO58" s="25"/>
      <c r="AP58" s="26" t="s">
        <v>4</v>
      </c>
      <c r="AQ58" s="27"/>
      <c r="AR58" s="28"/>
      <c r="AS58" s="39"/>
      <c r="AT58" s="17" t="s">
        <v>1</v>
      </c>
      <c r="AU58" s="18"/>
      <c r="AV58" s="19"/>
      <c r="AW58" s="20" t="s">
        <v>2</v>
      </c>
      <c r="AX58" s="21"/>
      <c r="AY58" s="22"/>
      <c r="AZ58" s="23" t="s">
        <v>3</v>
      </c>
      <c r="BA58" s="24"/>
      <c r="BB58" s="25"/>
      <c r="BC58" s="26" t="s">
        <v>4</v>
      </c>
      <c r="BD58" s="27"/>
      <c r="BE58" s="28"/>
      <c r="BF58" s="39"/>
      <c r="BG58" s="7"/>
    </row>
    <row r="59" spans="4:59" ht="16.5" thickBot="1" x14ac:dyDescent="0.4">
      <c r="AE59" s="4"/>
      <c r="AF59" s="39"/>
      <c r="AG59" s="11" t="s">
        <v>7</v>
      </c>
      <c r="AH59" s="12"/>
      <c r="AI59" s="13"/>
      <c r="AJ59" s="11">
        <v>2</v>
      </c>
      <c r="AK59" s="12"/>
      <c r="AL59" s="13"/>
      <c r="AM59" s="11">
        <v>700</v>
      </c>
      <c r="AN59" s="12"/>
      <c r="AO59" s="13"/>
      <c r="AP59" s="11" t="s">
        <v>306</v>
      </c>
      <c r="AQ59" s="12"/>
      <c r="AR59" s="13"/>
      <c r="AS59" s="39"/>
      <c r="AT59" s="11" t="s">
        <v>7</v>
      </c>
      <c r="AU59" s="12"/>
      <c r="AV59" s="13"/>
      <c r="AW59" s="11">
        <v>2</v>
      </c>
      <c r="AX59" s="12"/>
      <c r="AY59" s="13"/>
      <c r="AZ59" s="11">
        <v>700</v>
      </c>
      <c r="BA59" s="12"/>
      <c r="BB59" s="13"/>
      <c r="BC59" s="11" t="s">
        <v>267</v>
      </c>
      <c r="BD59" s="12"/>
      <c r="BE59" s="13"/>
      <c r="BF59" s="39"/>
      <c r="BG59" s="7"/>
    </row>
    <row r="60" spans="4:59" ht="16.5" thickBot="1" x14ac:dyDescent="0.4">
      <c r="AE60" s="4"/>
      <c r="AF60" s="39"/>
      <c r="AG60" s="11" t="s">
        <v>7</v>
      </c>
      <c r="AH60" s="12"/>
      <c r="AI60" s="13"/>
      <c r="AJ60" s="11">
        <v>5</v>
      </c>
      <c r="AK60" s="12"/>
      <c r="AL60" s="13"/>
      <c r="AM60" s="11" t="s">
        <v>286</v>
      </c>
      <c r="AN60" s="12"/>
      <c r="AO60" s="13"/>
      <c r="AP60" s="11" t="s">
        <v>307</v>
      </c>
      <c r="AQ60" s="12"/>
      <c r="AR60" s="13"/>
      <c r="AS60" s="39"/>
      <c r="AT60" s="11" t="s">
        <v>7</v>
      </c>
      <c r="AU60" s="12"/>
      <c r="AV60" s="13"/>
      <c r="AW60" s="11">
        <v>5</v>
      </c>
      <c r="AX60" s="12"/>
      <c r="AY60" s="13"/>
      <c r="AZ60" s="11" t="s">
        <v>246</v>
      </c>
      <c r="BA60" s="12"/>
      <c r="BB60" s="13"/>
      <c r="BC60" s="11" t="s">
        <v>268</v>
      </c>
      <c r="BD60" s="12"/>
      <c r="BE60" s="13"/>
      <c r="BF60" s="39"/>
      <c r="BG60" s="7"/>
    </row>
    <row r="61" spans="4:59" ht="16.5" thickBot="1" x14ac:dyDescent="0.4">
      <c r="AE61" s="4"/>
      <c r="AF61" s="39"/>
      <c r="AG61" s="11" t="s">
        <v>7</v>
      </c>
      <c r="AH61" s="12"/>
      <c r="AI61" s="13"/>
      <c r="AJ61" s="11">
        <v>9</v>
      </c>
      <c r="AK61" s="12"/>
      <c r="AL61" s="13"/>
      <c r="AM61" s="11" t="s">
        <v>22</v>
      </c>
      <c r="AN61" s="12"/>
      <c r="AO61" s="13"/>
      <c r="AP61" s="11" t="s">
        <v>23</v>
      </c>
      <c r="AQ61" s="12"/>
      <c r="AR61" s="13"/>
      <c r="AS61" s="39"/>
      <c r="AT61" s="11" t="s">
        <v>7</v>
      </c>
      <c r="AU61" s="12"/>
      <c r="AV61" s="13"/>
      <c r="AW61" s="11">
        <v>9</v>
      </c>
      <c r="AX61" s="12"/>
      <c r="AY61" s="13"/>
      <c r="AZ61" s="11" t="s">
        <v>247</v>
      </c>
      <c r="BA61" s="12"/>
      <c r="BB61" s="13"/>
      <c r="BC61" s="11" t="s">
        <v>269</v>
      </c>
      <c r="BD61" s="12"/>
      <c r="BE61" s="13"/>
      <c r="BF61" s="39"/>
      <c r="BG61" s="7"/>
    </row>
    <row r="62" spans="4:59" ht="16.5" thickBot="1" x14ac:dyDescent="0.4">
      <c r="AE62" s="4"/>
      <c r="AF62" s="39"/>
      <c r="AG62" s="11" t="s">
        <v>7</v>
      </c>
      <c r="AH62" s="12"/>
      <c r="AI62" s="13"/>
      <c r="AJ62" s="11">
        <v>15</v>
      </c>
      <c r="AK62" s="12"/>
      <c r="AL62" s="13"/>
      <c r="AM62" s="11" t="s">
        <v>287</v>
      </c>
      <c r="AN62" s="12"/>
      <c r="AO62" s="13"/>
      <c r="AP62" s="11" t="s">
        <v>308</v>
      </c>
      <c r="AQ62" s="12"/>
      <c r="AR62" s="13"/>
      <c r="AS62" s="39"/>
      <c r="AT62" s="11" t="s">
        <v>7</v>
      </c>
      <c r="AU62" s="12"/>
      <c r="AV62" s="13"/>
      <c r="AW62" s="11">
        <v>15</v>
      </c>
      <c r="AX62" s="12"/>
      <c r="AY62" s="13"/>
      <c r="AZ62" s="11" t="s">
        <v>248</v>
      </c>
      <c r="BA62" s="12"/>
      <c r="BB62" s="13"/>
      <c r="BC62" s="11" t="s">
        <v>270</v>
      </c>
      <c r="BD62" s="12"/>
      <c r="BE62" s="13"/>
      <c r="BF62" s="39"/>
      <c r="BG62" s="7"/>
    </row>
    <row r="63" spans="4:59" ht="16.5" thickBot="1" x14ac:dyDescent="0.4">
      <c r="M63">
        <v>1000</v>
      </c>
      <c r="N63">
        <v>13511</v>
      </c>
      <c r="O63">
        <v>1405144</v>
      </c>
      <c r="AE63" s="4"/>
      <c r="AF63" s="39"/>
      <c r="AG63" s="11" t="s">
        <v>7</v>
      </c>
      <c r="AH63" s="12"/>
      <c r="AI63" s="13"/>
      <c r="AJ63" s="14">
        <v>25</v>
      </c>
      <c r="AK63" s="15"/>
      <c r="AL63" s="16"/>
      <c r="AM63" s="11" t="s">
        <v>288</v>
      </c>
      <c r="AN63" s="12"/>
      <c r="AO63" s="13"/>
      <c r="AP63" s="11" t="s">
        <v>309</v>
      </c>
      <c r="AQ63" s="12"/>
      <c r="AR63" s="13"/>
      <c r="AS63" s="39"/>
      <c r="AT63" s="11" t="s">
        <v>7</v>
      </c>
      <c r="AU63" s="12"/>
      <c r="AV63" s="13"/>
      <c r="AW63" s="14">
        <v>25</v>
      </c>
      <c r="AX63" s="15"/>
      <c r="AY63" s="16"/>
      <c r="AZ63" s="11" t="s">
        <v>249</v>
      </c>
      <c r="BA63" s="12"/>
      <c r="BB63" s="13"/>
      <c r="BC63" s="11" t="s">
        <v>271</v>
      </c>
      <c r="BD63" s="12"/>
      <c r="BE63" s="13"/>
      <c r="BF63" s="39"/>
      <c r="BG63" s="7"/>
    </row>
    <row r="64" spans="4:59" ht="15" thickBot="1" x14ac:dyDescent="0.4">
      <c r="D64">
        <v>1000</v>
      </c>
      <c r="E64">
        <v>7510</v>
      </c>
      <c r="F64">
        <v>781040</v>
      </c>
      <c r="M64">
        <v>5000</v>
      </c>
      <c r="N64">
        <v>65048</v>
      </c>
      <c r="O64">
        <v>6764992</v>
      </c>
      <c r="AE64" s="4"/>
      <c r="AF64" s="39"/>
      <c r="AG64" s="29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1"/>
      <c r="AS64" s="39"/>
      <c r="AT64" s="29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1"/>
      <c r="BF64" s="39"/>
      <c r="BG64" s="7"/>
    </row>
    <row r="65" spans="4:59" ht="16.5" thickBot="1" x14ac:dyDescent="0.4">
      <c r="D65">
        <v>5000</v>
      </c>
      <c r="E65">
        <v>35033</v>
      </c>
      <c r="F65">
        <v>3643432</v>
      </c>
      <c r="M65">
        <v>10000</v>
      </c>
      <c r="N65">
        <v>128290</v>
      </c>
      <c r="O65">
        <v>13342160</v>
      </c>
      <c r="AE65" s="4"/>
      <c r="AF65" s="39"/>
      <c r="AG65" s="17" t="s">
        <v>1</v>
      </c>
      <c r="AH65" s="18"/>
      <c r="AI65" s="19"/>
      <c r="AJ65" s="20" t="s">
        <v>2</v>
      </c>
      <c r="AK65" s="21"/>
      <c r="AL65" s="22"/>
      <c r="AM65" s="23" t="s">
        <v>3</v>
      </c>
      <c r="AN65" s="24"/>
      <c r="AO65" s="25"/>
      <c r="AP65" s="26" t="s">
        <v>4</v>
      </c>
      <c r="AQ65" s="27"/>
      <c r="AR65" s="28"/>
      <c r="AS65" s="39"/>
      <c r="AT65" s="17" t="s">
        <v>1</v>
      </c>
      <c r="AU65" s="18"/>
      <c r="AV65" s="19"/>
      <c r="AW65" s="20" t="s">
        <v>2</v>
      </c>
      <c r="AX65" s="21"/>
      <c r="AY65" s="22"/>
      <c r="AZ65" s="23" t="s">
        <v>3</v>
      </c>
      <c r="BA65" s="24"/>
      <c r="BB65" s="25"/>
      <c r="BC65" s="26" t="s">
        <v>4</v>
      </c>
      <c r="BD65" s="27"/>
      <c r="BE65" s="28"/>
      <c r="BF65" s="39"/>
      <c r="BG65" s="7"/>
    </row>
    <row r="66" spans="4:59" ht="16.5" thickBot="1" x14ac:dyDescent="0.4">
      <c r="D66">
        <v>10000</v>
      </c>
      <c r="E66">
        <v>68048</v>
      </c>
      <c r="F66">
        <v>7093112</v>
      </c>
      <c r="M66">
        <v>100000</v>
      </c>
      <c r="N66">
        <v>1207426</v>
      </c>
      <c r="O66">
        <v>125572304</v>
      </c>
      <c r="AE66" s="4"/>
      <c r="AF66" s="39"/>
      <c r="AG66" s="11" t="s">
        <v>8</v>
      </c>
      <c r="AH66" s="12"/>
      <c r="AI66" s="13"/>
      <c r="AJ66" s="11">
        <v>2</v>
      </c>
      <c r="AK66" s="12"/>
      <c r="AL66" s="13"/>
      <c r="AM66" s="11">
        <v>702</v>
      </c>
      <c r="AN66" s="12"/>
      <c r="AO66" s="13"/>
      <c r="AP66" s="11" t="s">
        <v>28</v>
      </c>
      <c r="AQ66" s="12"/>
      <c r="AR66" s="13"/>
      <c r="AS66" s="39"/>
      <c r="AT66" s="11" t="s">
        <v>8</v>
      </c>
      <c r="AU66" s="12"/>
      <c r="AV66" s="13"/>
      <c r="AW66" s="11">
        <v>2</v>
      </c>
      <c r="AX66" s="12"/>
      <c r="AY66" s="13"/>
      <c r="AZ66" s="11">
        <v>702</v>
      </c>
      <c r="BA66" s="12"/>
      <c r="BB66" s="13"/>
      <c r="BC66" s="11" t="s">
        <v>71</v>
      </c>
      <c r="BD66" s="12"/>
      <c r="BE66" s="13"/>
      <c r="BF66" s="39"/>
      <c r="BG66" s="7"/>
    </row>
    <row r="67" spans="4:59" ht="16.5" thickBot="1" x14ac:dyDescent="0.4">
      <c r="D67">
        <v>100000</v>
      </c>
      <c r="E67">
        <v>607609</v>
      </c>
      <c r="F67">
        <v>63191336</v>
      </c>
      <c r="M67">
        <v>500000</v>
      </c>
      <c r="N67">
        <v>5811654</v>
      </c>
      <c r="O67">
        <v>604412016</v>
      </c>
      <c r="AE67" s="4"/>
      <c r="AF67" s="39"/>
      <c r="AG67" s="11" t="s">
        <v>8</v>
      </c>
      <c r="AH67" s="12"/>
      <c r="AI67" s="13"/>
      <c r="AJ67" s="11">
        <v>5</v>
      </c>
      <c r="AK67" s="12"/>
      <c r="AL67" s="13"/>
      <c r="AM67" s="11" t="s">
        <v>289</v>
      </c>
      <c r="AN67" s="12"/>
      <c r="AO67" s="13"/>
      <c r="AP67" s="11" t="s">
        <v>310</v>
      </c>
      <c r="AQ67" s="12"/>
      <c r="AR67" s="13"/>
      <c r="AS67" s="39"/>
      <c r="AT67" s="11" t="s">
        <v>8</v>
      </c>
      <c r="AU67" s="12"/>
      <c r="AV67" s="13"/>
      <c r="AW67" s="11">
        <v>5</v>
      </c>
      <c r="AX67" s="12"/>
      <c r="AY67" s="13"/>
      <c r="AZ67" s="11" t="s">
        <v>250</v>
      </c>
      <c r="BA67" s="12"/>
      <c r="BB67" s="13"/>
      <c r="BC67" s="11" t="s">
        <v>272</v>
      </c>
      <c r="BD67" s="12"/>
      <c r="BE67" s="13"/>
      <c r="BF67" s="39"/>
      <c r="BG67" s="7"/>
    </row>
    <row r="68" spans="4:59" ht="16.5" thickBot="1" x14ac:dyDescent="0.4">
      <c r="D68">
        <v>500000</v>
      </c>
      <c r="E68">
        <v>2811357</v>
      </c>
      <c r="F68">
        <v>292381128</v>
      </c>
      <c r="AE68" s="4"/>
      <c r="AF68" s="39"/>
      <c r="AG68" s="11" t="s">
        <v>8</v>
      </c>
      <c r="AH68" s="12"/>
      <c r="AI68" s="13"/>
      <c r="AJ68" s="11">
        <v>9</v>
      </c>
      <c r="AK68" s="12"/>
      <c r="AL68" s="13"/>
      <c r="AM68" s="11" t="s">
        <v>290</v>
      </c>
      <c r="AN68" s="12"/>
      <c r="AO68" s="13"/>
      <c r="AP68" s="11" t="s">
        <v>311</v>
      </c>
      <c r="AQ68" s="12"/>
      <c r="AR68" s="13"/>
      <c r="AS68" s="39"/>
      <c r="AT68" s="11" t="s">
        <v>8</v>
      </c>
      <c r="AU68" s="12"/>
      <c r="AV68" s="13"/>
      <c r="AW68" s="11">
        <v>9</v>
      </c>
      <c r="AX68" s="12"/>
      <c r="AY68" s="13"/>
      <c r="AZ68" s="11" t="s">
        <v>251</v>
      </c>
      <c r="BA68" s="12"/>
      <c r="BB68" s="13"/>
      <c r="BC68" s="11" t="s">
        <v>273</v>
      </c>
      <c r="BD68" s="12"/>
      <c r="BE68" s="13"/>
      <c r="BF68" s="39"/>
      <c r="BG68" s="7"/>
    </row>
    <row r="69" spans="4:59" ht="16.5" thickBot="1" x14ac:dyDescent="0.4">
      <c r="AE69" s="4"/>
      <c r="AF69" s="39"/>
      <c r="AG69" s="11" t="s">
        <v>8</v>
      </c>
      <c r="AH69" s="12"/>
      <c r="AI69" s="13"/>
      <c r="AJ69" s="11">
        <v>15</v>
      </c>
      <c r="AK69" s="12"/>
      <c r="AL69" s="13"/>
      <c r="AM69" s="11" t="s">
        <v>291</v>
      </c>
      <c r="AN69" s="12"/>
      <c r="AO69" s="13"/>
      <c r="AP69" s="11" t="s">
        <v>312</v>
      </c>
      <c r="AQ69" s="12"/>
      <c r="AR69" s="13"/>
      <c r="AS69" s="39"/>
      <c r="AT69" s="11" t="s">
        <v>8</v>
      </c>
      <c r="AU69" s="12"/>
      <c r="AV69" s="13"/>
      <c r="AW69" s="11">
        <v>15</v>
      </c>
      <c r="AX69" s="12"/>
      <c r="AY69" s="13"/>
      <c r="AZ69" s="11" t="s">
        <v>252</v>
      </c>
      <c r="BA69" s="12"/>
      <c r="BB69" s="13"/>
      <c r="BC69" s="11" t="s">
        <v>274</v>
      </c>
      <c r="BD69" s="12"/>
      <c r="BE69" s="13"/>
      <c r="BF69" s="39"/>
      <c r="BG69" s="7"/>
    </row>
    <row r="70" spans="4:59" ht="16.5" thickBot="1" x14ac:dyDescent="0.4">
      <c r="AE70" s="4"/>
      <c r="AF70" s="39"/>
      <c r="AG70" s="14" t="s">
        <v>8</v>
      </c>
      <c r="AH70" s="15"/>
      <c r="AI70" s="16"/>
      <c r="AJ70" s="14">
        <v>25</v>
      </c>
      <c r="AK70" s="15"/>
      <c r="AL70" s="16"/>
      <c r="AM70" s="11" t="s">
        <v>292</v>
      </c>
      <c r="AN70" s="12"/>
      <c r="AO70" s="13"/>
      <c r="AP70" s="11" t="s">
        <v>313</v>
      </c>
      <c r="AQ70" s="12"/>
      <c r="AR70" s="13"/>
      <c r="AS70" s="39"/>
      <c r="AT70" s="14" t="s">
        <v>8</v>
      </c>
      <c r="AU70" s="15"/>
      <c r="AV70" s="16"/>
      <c r="AW70" s="14">
        <v>25</v>
      </c>
      <c r="AX70" s="15"/>
      <c r="AY70" s="16"/>
      <c r="AZ70" s="11" t="s">
        <v>253</v>
      </c>
      <c r="BA70" s="12"/>
      <c r="BB70" s="13"/>
      <c r="BC70" s="11" t="s">
        <v>275</v>
      </c>
      <c r="BD70" s="12"/>
      <c r="BE70" s="13"/>
      <c r="BF70" s="39"/>
      <c r="BG70" s="7"/>
    </row>
    <row r="71" spans="4:59" ht="15" thickBot="1" x14ac:dyDescent="0.4">
      <c r="AE71" s="4"/>
      <c r="AF71" s="39"/>
      <c r="AG71" s="29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1"/>
      <c r="AS71" s="39"/>
      <c r="AT71" s="29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1"/>
      <c r="BF71" s="39"/>
      <c r="BG71" s="7"/>
    </row>
    <row r="72" spans="4:59" ht="16.5" thickBot="1" x14ac:dyDescent="0.4">
      <c r="AE72" s="4"/>
      <c r="AF72" s="39"/>
      <c r="AG72" s="17" t="s">
        <v>1</v>
      </c>
      <c r="AH72" s="18"/>
      <c r="AI72" s="19"/>
      <c r="AJ72" s="20" t="s">
        <v>2</v>
      </c>
      <c r="AK72" s="21"/>
      <c r="AL72" s="22"/>
      <c r="AM72" s="23" t="s">
        <v>3</v>
      </c>
      <c r="AN72" s="24"/>
      <c r="AO72" s="25"/>
      <c r="AP72" s="26" t="s">
        <v>4</v>
      </c>
      <c r="AQ72" s="27"/>
      <c r="AR72" s="28"/>
      <c r="AS72" s="39"/>
      <c r="AT72" s="17" t="s">
        <v>1</v>
      </c>
      <c r="AU72" s="18"/>
      <c r="AV72" s="19"/>
      <c r="AW72" s="20" t="s">
        <v>2</v>
      </c>
      <c r="AX72" s="21"/>
      <c r="AY72" s="22"/>
      <c r="AZ72" s="23" t="s">
        <v>3</v>
      </c>
      <c r="BA72" s="24"/>
      <c r="BB72" s="25"/>
      <c r="BC72" s="26" t="s">
        <v>4</v>
      </c>
      <c r="BD72" s="27"/>
      <c r="BE72" s="28"/>
      <c r="BF72" s="39"/>
      <c r="BG72" s="7"/>
    </row>
    <row r="73" spans="4:59" ht="16.5" thickBot="1" x14ac:dyDescent="0.4">
      <c r="AE73" s="4"/>
      <c r="AF73" s="39"/>
      <c r="AG73" s="11" t="s">
        <v>9</v>
      </c>
      <c r="AH73" s="12"/>
      <c r="AI73" s="13"/>
      <c r="AJ73" s="11">
        <v>2</v>
      </c>
      <c r="AK73" s="12"/>
      <c r="AL73" s="13"/>
      <c r="AM73" s="11">
        <v>702</v>
      </c>
      <c r="AN73" s="12"/>
      <c r="AO73" s="13"/>
      <c r="AP73" s="11" t="s">
        <v>28</v>
      </c>
      <c r="AQ73" s="12"/>
      <c r="AR73" s="13"/>
      <c r="AS73" s="39"/>
      <c r="AT73" s="11" t="s">
        <v>9</v>
      </c>
      <c r="AU73" s="12"/>
      <c r="AV73" s="13"/>
      <c r="AW73" s="11">
        <v>2</v>
      </c>
      <c r="AX73" s="12"/>
      <c r="AY73" s="13"/>
      <c r="AZ73" s="11">
        <v>702</v>
      </c>
      <c r="BA73" s="12"/>
      <c r="BB73" s="13"/>
      <c r="BC73" s="11" t="s">
        <v>71</v>
      </c>
      <c r="BD73" s="12"/>
      <c r="BE73" s="13"/>
      <c r="BF73" s="39"/>
      <c r="BG73" s="7"/>
    </row>
    <row r="74" spans="4:59" ht="16.5" thickBot="1" x14ac:dyDescent="0.4">
      <c r="AE74" s="4"/>
      <c r="AF74" s="39"/>
      <c r="AG74" s="11" t="s">
        <v>9</v>
      </c>
      <c r="AH74" s="12"/>
      <c r="AI74" s="13"/>
      <c r="AJ74" s="11">
        <v>5</v>
      </c>
      <c r="AK74" s="12"/>
      <c r="AL74" s="13"/>
      <c r="AM74" s="11" t="s">
        <v>293</v>
      </c>
      <c r="AN74" s="12"/>
      <c r="AO74" s="13"/>
      <c r="AP74" s="11" t="s">
        <v>314</v>
      </c>
      <c r="AQ74" s="12"/>
      <c r="AR74" s="13"/>
      <c r="AS74" s="39"/>
      <c r="AT74" s="11" t="s">
        <v>9</v>
      </c>
      <c r="AU74" s="12"/>
      <c r="AV74" s="13"/>
      <c r="AW74" s="11">
        <v>5</v>
      </c>
      <c r="AX74" s="12"/>
      <c r="AY74" s="13"/>
      <c r="AZ74" s="11" t="s">
        <v>254</v>
      </c>
      <c r="BA74" s="12"/>
      <c r="BB74" s="13"/>
      <c r="BC74" s="11" t="s">
        <v>279</v>
      </c>
      <c r="BD74" s="12"/>
      <c r="BE74" s="13"/>
      <c r="BF74" s="39"/>
      <c r="BG74" s="7"/>
    </row>
    <row r="75" spans="4:59" ht="16.5" thickBot="1" x14ac:dyDescent="0.4">
      <c r="AE75" s="4"/>
      <c r="AF75" s="39"/>
      <c r="AG75" s="11" t="s">
        <v>9</v>
      </c>
      <c r="AH75" s="12"/>
      <c r="AI75" s="13"/>
      <c r="AJ75" s="11">
        <v>9</v>
      </c>
      <c r="AK75" s="12"/>
      <c r="AL75" s="13"/>
      <c r="AM75" s="11" t="s">
        <v>294</v>
      </c>
      <c r="AN75" s="12"/>
      <c r="AO75" s="13"/>
      <c r="AP75" s="11" t="s">
        <v>315</v>
      </c>
      <c r="AQ75" s="12"/>
      <c r="AR75" s="13"/>
      <c r="AS75" s="39"/>
      <c r="AT75" s="11" t="s">
        <v>9</v>
      </c>
      <c r="AU75" s="12"/>
      <c r="AV75" s="13"/>
      <c r="AW75" s="11">
        <v>9</v>
      </c>
      <c r="AX75" s="12"/>
      <c r="AY75" s="13"/>
      <c r="AZ75" s="11" t="s">
        <v>255</v>
      </c>
      <c r="BA75" s="12"/>
      <c r="BB75" s="13"/>
      <c r="BC75" s="11" t="s">
        <v>278</v>
      </c>
      <c r="BD75" s="12"/>
      <c r="BE75" s="13"/>
      <c r="BF75" s="39"/>
      <c r="BG75" s="7"/>
    </row>
    <row r="76" spans="4:59" ht="16.5" thickBot="1" x14ac:dyDescent="0.4">
      <c r="AE76" s="4"/>
      <c r="AF76" s="39"/>
      <c r="AG76" s="11" t="s">
        <v>9</v>
      </c>
      <c r="AH76" s="12"/>
      <c r="AI76" s="13"/>
      <c r="AJ76" s="11">
        <v>15</v>
      </c>
      <c r="AK76" s="12"/>
      <c r="AL76" s="13"/>
      <c r="AM76" s="11" t="s">
        <v>295</v>
      </c>
      <c r="AN76" s="12"/>
      <c r="AO76" s="13"/>
      <c r="AP76" s="11" t="s">
        <v>316</v>
      </c>
      <c r="AQ76" s="12"/>
      <c r="AR76" s="13"/>
      <c r="AS76" s="39"/>
      <c r="AT76" s="11" t="s">
        <v>9</v>
      </c>
      <c r="AU76" s="12"/>
      <c r="AV76" s="13"/>
      <c r="AW76" s="11">
        <v>15</v>
      </c>
      <c r="AX76" s="12"/>
      <c r="AY76" s="13"/>
      <c r="AZ76" s="11" t="s">
        <v>256</v>
      </c>
      <c r="BA76" s="12"/>
      <c r="BB76" s="13"/>
      <c r="BC76" s="11" t="s">
        <v>280</v>
      </c>
      <c r="BD76" s="12"/>
      <c r="BE76" s="13"/>
      <c r="BF76" s="39"/>
      <c r="BG76" s="7"/>
    </row>
    <row r="77" spans="4:59" ht="16.5" thickBot="1" x14ac:dyDescent="0.4">
      <c r="AE77" s="4"/>
      <c r="AF77" s="39"/>
      <c r="AG77" s="11" t="s">
        <v>9</v>
      </c>
      <c r="AH77" s="12"/>
      <c r="AI77" s="13"/>
      <c r="AJ77" s="14">
        <v>25</v>
      </c>
      <c r="AK77" s="15"/>
      <c r="AL77" s="16"/>
      <c r="AM77" s="11" t="s">
        <v>296</v>
      </c>
      <c r="AN77" s="12"/>
      <c r="AO77" s="13"/>
      <c r="AP77" s="11" t="s">
        <v>317</v>
      </c>
      <c r="AQ77" s="12"/>
      <c r="AR77" s="13"/>
      <c r="AS77" s="39"/>
      <c r="AT77" s="11" t="s">
        <v>9</v>
      </c>
      <c r="AU77" s="12"/>
      <c r="AV77" s="13"/>
      <c r="AW77" s="14">
        <v>25</v>
      </c>
      <c r="AX77" s="15"/>
      <c r="AY77" s="16"/>
      <c r="AZ77" s="11" t="s">
        <v>257</v>
      </c>
      <c r="BA77" s="12"/>
      <c r="BB77" s="13"/>
      <c r="BC77" s="11" t="s">
        <v>281</v>
      </c>
      <c r="BD77" s="12"/>
      <c r="BE77" s="13"/>
      <c r="BF77" s="39"/>
      <c r="BG77" s="7"/>
    </row>
    <row r="78" spans="4:59" ht="15" thickBot="1" x14ac:dyDescent="0.4">
      <c r="AE78" s="4"/>
      <c r="AF78" s="39"/>
      <c r="AG78" s="29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1"/>
      <c r="AS78" s="39"/>
      <c r="AT78" s="29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1"/>
      <c r="BF78" s="39"/>
      <c r="BG78" s="7"/>
    </row>
    <row r="79" spans="4:59" ht="16.5" thickBot="1" x14ac:dyDescent="0.4">
      <c r="AE79" s="4"/>
      <c r="AF79" s="39"/>
      <c r="AG79" s="17" t="s">
        <v>1</v>
      </c>
      <c r="AH79" s="18"/>
      <c r="AI79" s="19"/>
      <c r="AJ79" s="20" t="s">
        <v>2</v>
      </c>
      <c r="AK79" s="21"/>
      <c r="AL79" s="22"/>
      <c r="AM79" s="23" t="s">
        <v>3</v>
      </c>
      <c r="AN79" s="24"/>
      <c r="AO79" s="25"/>
      <c r="AP79" s="26" t="s">
        <v>4</v>
      </c>
      <c r="AQ79" s="27"/>
      <c r="AR79" s="28"/>
      <c r="AS79" s="39"/>
      <c r="AT79" s="17" t="s">
        <v>1</v>
      </c>
      <c r="AU79" s="18"/>
      <c r="AV79" s="19"/>
      <c r="AW79" s="20" t="s">
        <v>2</v>
      </c>
      <c r="AX79" s="21"/>
      <c r="AY79" s="22"/>
      <c r="AZ79" s="23" t="s">
        <v>3</v>
      </c>
      <c r="BA79" s="24"/>
      <c r="BB79" s="25"/>
      <c r="BC79" s="26" t="s">
        <v>4</v>
      </c>
      <c r="BD79" s="27"/>
      <c r="BE79" s="28"/>
      <c r="BF79" s="39"/>
      <c r="BG79" s="7"/>
    </row>
    <row r="80" spans="4:59" ht="16.5" thickBot="1" x14ac:dyDescent="0.4">
      <c r="AE80" s="4"/>
      <c r="AF80" s="39"/>
      <c r="AG80" s="11" t="s">
        <v>10</v>
      </c>
      <c r="AH80" s="12"/>
      <c r="AI80" s="13"/>
      <c r="AJ80" s="11">
        <v>2</v>
      </c>
      <c r="AK80" s="12"/>
      <c r="AL80" s="13"/>
      <c r="AM80" s="11">
        <v>702</v>
      </c>
      <c r="AN80" s="12"/>
      <c r="AO80" s="13"/>
      <c r="AP80" s="11" t="s">
        <v>28</v>
      </c>
      <c r="AQ80" s="12"/>
      <c r="AR80" s="13"/>
      <c r="AS80" s="39"/>
      <c r="AT80" s="11" t="s">
        <v>10</v>
      </c>
      <c r="AU80" s="12"/>
      <c r="AV80" s="13"/>
      <c r="AW80" s="11">
        <v>2</v>
      </c>
      <c r="AX80" s="12"/>
      <c r="AY80" s="13"/>
      <c r="AZ80" s="11">
        <v>702</v>
      </c>
      <c r="BA80" s="12"/>
      <c r="BB80" s="13"/>
      <c r="BC80" s="11" t="s">
        <v>71</v>
      </c>
      <c r="BD80" s="12"/>
      <c r="BE80" s="13"/>
      <c r="BF80" s="39"/>
      <c r="BG80" s="7"/>
    </row>
    <row r="81" spans="1:59" ht="16.5" thickBot="1" x14ac:dyDescent="0.4">
      <c r="D81">
        <v>1000</v>
      </c>
      <c r="E81">
        <v>23519</v>
      </c>
      <c r="F81">
        <v>2445976</v>
      </c>
      <c r="AE81" s="4"/>
      <c r="AF81" s="39"/>
      <c r="AG81" s="11" t="s">
        <v>10</v>
      </c>
      <c r="AH81" s="12"/>
      <c r="AI81" s="13"/>
      <c r="AJ81" s="11">
        <v>5</v>
      </c>
      <c r="AK81" s="12"/>
      <c r="AL81" s="13"/>
      <c r="AM81" s="11" t="s">
        <v>297</v>
      </c>
      <c r="AN81" s="12"/>
      <c r="AO81" s="13"/>
      <c r="AP81" s="11" t="s">
        <v>318</v>
      </c>
      <c r="AQ81" s="12"/>
      <c r="AR81" s="13"/>
      <c r="AS81" s="39"/>
      <c r="AT81" s="11" t="s">
        <v>10</v>
      </c>
      <c r="AU81" s="12"/>
      <c r="AV81" s="13"/>
      <c r="AW81" s="11">
        <v>5</v>
      </c>
      <c r="AX81" s="12"/>
      <c r="AY81" s="13"/>
      <c r="AZ81" s="11" t="s">
        <v>258</v>
      </c>
      <c r="BA81" s="12"/>
      <c r="BB81" s="13"/>
      <c r="BC81" s="11" t="s">
        <v>276</v>
      </c>
      <c r="BD81" s="12"/>
      <c r="BE81" s="13"/>
      <c r="BF81" s="39"/>
      <c r="BG81" s="7"/>
    </row>
    <row r="82" spans="1:59" ht="16.5" thickBot="1" x14ac:dyDescent="0.4">
      <c r="D82">
        <v>5000</v>
      </c>
      <c r="E82">
        <v>115010</v>
      </c>
      <c r="F82">
        <v>11961040</v>
      </c>
      <c r="AE82" s="4"/>
      <c r="AF82" s="39"/>
      <c r="AG82" s="11" t="s">
        <v>10</v>
      </c>
      <c r="AH82" s="12"/>
      <c r="AI82" s="13"/>
      <c r="AJ82" s="11">
        <v>9</v>
      </c>
      <c r="AK82" s="12"/>
      <c r="AL82" s="13"/>
      <c r="AM82" s="11" t="s">
        <v>298</v>
      </c>
      <c r="AN82" s="12"/>
      <c r="AO82" s="13"/>
      <c r="AP82" s="11" t="s">
        <v>319</v>
      </c>
      <c r="AQ82" s="12"/>
      <c r="AR82" s="13"/>
      <c r="AS82" s="39"/>
      <c r="AT82" s="11" t="s">
        <v>10</v>
      </c>
      <c r="AU82" s="12"/>
      <c r="AV82" s="13"/>
      <c r="AW82" s="11">
        <v>9</v>
      </c>
      <c r="AX82" s="12"/>
      <c r="AY82" s="13"/>
      <c r="AZ82" s="11" t="s">
        <v>259</v>
      </c>
      <c r="BA82" s="12"/>
      <c r="BB82" s="13"/>
      <c r="BC82" s="11" t="s">
        <v>277</v>
      </c>
      <c r="BD82" s="12"/>
      <c r="BE82" s="13"/>
      <c r="BF82" s="39"/>
      <c r="BG82" s="7"/>
    </row>
    <row r="83" spans="1:59" ht="16.5" thickBot="1" x14ac:dyDescent="0.4">
      <c r="D83">
        <v>10000</v>
      </c>
      <c r="E83">
        <v>228222</v>
      </c>
      <c r="F83">
        <v>23735088</v>
      </c>
      <c r="AE83" s="4"/>
      <c r="AF83" s="39"/>
      <c r="AG83" s="11" t="s">
        <v>10</v>
      </c>
      <c r="AH83" s="12"/>
      <c r="AI83" s="13"/>
      <c r="AJ83" s="11">
        <v>15</v>
      </c>
      <c r="AK83" s="12"/>
      <c r="AL83" s="13"/>
      <c r="AM83" s="11" t="s">
        <v>299</v>
      </c>
      <c r="AN83" s="12"/>
      <c r="AO83" s="13"/>
      <c r="AP83" s="11" t="s">
        <v>320</v>
      </c>
      <c r="AQ83" s="12"/>
      <c r="AR83" s="13"/>
      <c r="AS83" s="39"/>
      <c r="AT83" s="11" t="s">
        <v>10</v>
      </c>
      <c r="AU83" s="12"/>
      <c r="AV83" s="13"/>
      <c r="AW83" s="11">
        <v>15</v>
      </c>
      <c r="AX83" s="12"/>
      <c r="AY83" s="13"/>
      <c r="AZ83" s="11" t="s">
        <v>260</v>
      </c>
      <c r="BA83" s="12"/>
      <c r="BB83" s="13"/>
      <c r="BC83" s="11" t="s">
        <v>282</v>
      </c>
      <c r="BD83" s="12"/>
      <c r="BE83" s="13"/>
      <c r="BF83" s="39"/>
      <c r="BG83" s="7"/>
    </row>
    <row r="84" spans="1:59" ht="16.5" thickBot="1" x14ac:dyDescent="0.4">
      <c r="D84">
        <v>100000</v>
      </c>
      <c r="E84">
        <v>2207726</v>
      </c>
      <c r="F84">
        <v>229603504</v>
      </c>
      <c r="AE84" s="4"/>
      <c r="AF84" s="39"/>
      <c r="AG84" s="11" t="s">
        <v>10</v>
      </c>
      <c r="AH84" s="12"/>
      <c r="AI84" s="13"/>
      <c r="AJ84" s="14">
        <v>25</v>
      </c>
      <c r="AK84" s="15"/>
      <c r="AL84" s="16"/>
      <c r="AM84" s="11" t="s">
        <v>300</v>
      </c>
      <c r="AN84" s="12"/>
      <c r="AO84" s="13"/>
      <c r="AP84" s="11" t="s">
        <v>321</v>
      </c>
      <c r="AQ84" s="12"/>
      <c r="AR84" s="13"/>
      <c r="AS84" s="39"/>
      <c r="AT84" s="11" t="s">
        <v>10</v>
      </c>
      <c r="AU84" s="12"/>
      <c r="AV84" s="13"/>
      <c r="AW84" s="14">
        <v>25</v>
      </c>
      <c r="AX84" s="15"/>
      <c r="AY84" s="16"/>
      <c r="AZ84" s="11" t="s">
        <v>261</v>
      </c>
      <c r="BA84" s="12"/>
      <c r="BB84" s="13"/>
      <c r="BC84" s="11" t="s">
        <v>283</v>
      </c>
      <c r="BD84" s="12"/>
      <c r="BE84" s="13"/>
      <c r="BF84" s="39"/>
      <c r="BG84" s="7"/>
    </row>
    <row r="85" spans="1:59" x14ac:dyDescent="0.35">
      <c r="D85">
        <v>500000</v>
      </c>
      <c r="E85">
        <v>10811317</v>
      </c>
      <c r="F85">
        <v>124439368</v>
      </c>
      <c r="AE85" s="4"/>
      <c r="AF85" s="39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39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39"/>
      <c r="BG85" s="7"/>
    </row>
    <row r="86" spans="1:59" ht="15" thickBot="1" x14ac:dyDescent="0.4">
      <c r="AE86" s="4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7"/>
    </row>
    <row r="87" spans="1:59" x14ac:dyDescent="0.35">
      <c r="AE87" s="4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6"/>
    </row>
    <row r="88" spans="1:59" x14ac:dyDescent="0.35">
      <c r="AE88" s="4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6"/>
    </row>
    <row r="89" spans="1:59" ht="15" thickBot="1" x14ac:dyDescent="0.4">
      <c r="AE89" s="8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10"/>
    </row>
    <row r="90" spans="1:59" ht="15" thickBot="1" x14ac:dyDescent="0.4"/>
    <row r="91" spans="1:59" x14ac:dyDescent="0.35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43"/>
      <c r="AN91" s="1"/>
      <c r="AO91" s="1"/>
      <c r="AP91" s="1"/>
      <c r="AQ91" s="1"/>
      <c r="AR91" s="1"/>
      <c r="AS91" s="1"/>
      <c r="AT91" s="1"/>
      <c r="AU91" s="1"/>
      <c r="AV91" s="1"/>
    </row>
    <row r="92" spans="1:59" ht="15" thickBot="1" x14ac:dyDescent="0.4">
      <c r="A92" s="4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45"/>
      <c r="AN92" s="1"/>
      <c r="AO92" s="1"/>
      <c r="AP92" s="1"/>
      <c r="AQ92" s="1"/>
      <c r="AR92" s="1"/>
      <c r="AS92" s="1"/>
      <c r="AT92" s="1"/>
      <c r="AU92" s="1"/>
      <c r="AV92" s="1"/>
    </row>
    <row r="93" spans="1:59" x14ac:dyDescent="0.35">
      <c r="AN93" s="1"/>
      <c r="AO93" s="1"/>
      <c r="AP93" s="1"/>
      <c r="AQ93" s="1"/>
      <c r="AR93" s="1"/>
      <c r="AS93" s="1"/>
      <c r="AT93" s="1"/>
      <c r="AU93" s="1"/>
      <c r="AV93" s="1"/>
    </row>
    <row r="94" spans="1:59" x14ac:dyDescent="0.35">
      <c r="E94" t="s">
        <v>97</v>
      </c>
      <c r="I94" t="s">
        <v>98</v>
      </c>
      <c r="AN94" s="1"/>
      <c r="AO94" s="1"/>
      <c r="AP94" s="1"/>
      <c r="AQ94" s="1"/>
      <c r="AR94" s="1"/>
      <c r="AS94" s="1"/>
      <c r="AT94" s="1"/>
      <c r="AU94" s="1"/>
      <c r="AV94" s="1"/>
    </row>
    <row r="95" spans="1:59" x14ac:dyDescent="0.35">
      <c r="F95" t="s">
        <v>99</v>
      </c>
      <c r="G95" t="s">
        <v>100</v>
      </c>
      <c r="I95" t="s">
        <v>101</v>
      </c>
      <c r="J95" t="s">
        <v>100</v>
      </c>
      <c r="AN95" s="1"/>
      <c r="AO95" s="1"/>
      <c r="AP95" s="1"/>
      <c r="AQ95" s="1"/>
      <c r="AR95" s="1"/>
      <c r="AS95" s="1"/>
      <c r="AT95" s="1"/>
      <c r="AU95" s="1"/>
      <c r="AV95" s="1"/>
    </row>
    <row r="96" spans="1:59" x14ac:dyDescent="0.35">
      <c r="C96">
        <v>1000</v>
      </c>
      <c r="D96">
        <v>2</v>
      </c>
      <c r="E96">
        <v>1000</v>
      </c>
      <c r="F96">
        <v>548</v>
      </c>
      <c r="G96">
        <v>33440</v>
      </c>
      <c r="I96">
        <v>548</v>
      </c>
      <c r="J96">
        <v>56992</v>
      </c>
      <c r="AN96" s="1"/>
      <c r="AO96" s="1"/>
      <c r="AP96" s="1"/>
      <c r="AQ96" s="1"/>
      <c r="AR96" s="1"/>
      <c r="AS96" s="1"/>
      <c r="AT96" s="1"/>
      <c r="AU96" s="1"/>
      <c r="AV96" s="1"/>
    </row>
    <row r="97" spans="3:48" x14ac:dyDescent="0.35">
      <c r="C97">
        <v>5000</v>
      </c>
      <c r="D97">
        <v>5</v>
      </c>
      <c r="F97">
        <v>3513</v>
      </c>
      <c r="G97">
        <v>188404</v>
      </c>
      <c r="I97">
        <v>3516</v>
      </c>
      <c r="J97">
        <v>365664</v>
      </c>
      <c r="AN97" s="1"/>
      <c r="AO97" s="1"/>
      <c r="AP97" s="1"/>
      <c r="AQ97" s="1"/>
      <c r="AR97" s="1"/>
      <c r="AS97" s="1"/>
      <c r="AT97" s="1"/>
      <c r="AU97" s="1"/>
      <c r="AV97" s="1"/>
    </row>
    <row r="98" spans="3:48" x14ac:dyDescent="0.35">
      <c r="C98">
        <v>10000</v>
      </c>
      <c r="D98">
        <v>9</v>
      </c>
      <c r="F98">
        <v>7510</v>
      </c>
      <c r="G98">
        <v>396136</v>
      </c>
      <c r="I98">
        <v>7510</v>
      </c>
      <c r="J98">
        <v>781040</v>
      </c>
      <c r="AN98" s="1"/>
      <c r="AO98" s="1"/>
      <c r="AP98" s="1"/>
      <c r="AQ98" s="1"/>
      <c r="AR98" s="1"/>
      <c r="AS98" s="1"/>
      <c r="AT98" s="1"/>
      <c r="AU98" s="1"/>
      <c r="AV98" s="1"/>
    </row>
    <row r="99" spans="3:48" x14ac:dyDescent="0.35">
      <c r="C99">
        <v>100000</v>
      </c>
      <c r="D99">
        <v>15</v>
      </c>
      <c r="F99">
        <v>13510</v>
      </c>
      <c r="G99">
        <v>708120</v>
      </c>
      <c r="I99">
        <v>13511</v>
      </c>
      <c r="J99">
        <v>1405144</v>
      </c>
      <c r="AN99" s="1"/>
      <c r="AO99" s="1"/>
      <c r="AP99" s="1"/>
      <c r="AQ99" s="1"/>
      <c r="AR99" s="1"/>
      <c r="AS99" s="1"/>
      <c r="AT99" s="1"/>
      <c r="AU99" s="1"/>
      <c r="AV99" s="1"/>
    </row>
    <row r="100" spans="3:48" x14ac:dyDescent="0.35">
      <c r="C100">
        <v>500000</v>
      </c>
      <c r="D100">
        <v>25</v>
      </c>
      <c r="F100">
        <v>23516</v>
      </c>
      <c r="G100">
        <v>1228240</v>
      </c>
      <c r="I100">
        <v>23519</v>
      </c>
      <c r="J100">
        <v>2445976</v>
      </c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:48" x14ac:dyDescent="0.35"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:48" x14ac:dyDescent="0.35">
      <c r="E102">
        <v>5000</v>
      </c>
      <c r="F102">
        <v>699</v>
      </c>
      <c r="G102">
        <v>41532</v>
      </c>
      <c r="I102">
        <v>699</v>
      </c>
      <c r="J102">
        <v>72696</v>
      </c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:48" x14ac:dyDescent="0.35">
      <c r="F103">
        <v>15003</v>
      </c>
      <c r="G103">
        <v>814652</v>
      </c>
      <c r="I103">
        <v>15008</v>
      </c>
      <c r="J103">
        <v>1560832</v>
      </c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:48" x14ac:dyDescent="0.35">
      <c r="F104">
        <v>35027</v>
      </c>
      <c r="G104">
        <v>1855788</v>
      </c>
      <c r="I104">
        <v>35033</v>
      </c>
      <c r="J104">
        <v>3643432</v>
      </c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:48" x14ac:dyDescent="0.35">
      <c r="F105">
        <v>65034</v>
      </c>
      <c r="G105">
        <v>3417304</v>
      </c>
      <c r="I105">
        <v>65048</v>
      </c>
      <c r="J105">
        <v>6764992</v>
      </c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:48" x14ac:dyDescent="0.35">
      <c r="F106">
        <v>115009</v>
      </c>
      <c r="G106">
        <v>6015572</v>
      </c>
      <c r="I106">
        <v>115010</v>
      </c>
      <c r="J106">
        <v>11961040</v>
      </c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:48" x14ac:dyDescent="0.35"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:48" x14ac:dyDescent="0.35">
      <c r="E108">
        <v>10000</v>
      </c>
      <c r="F108">
        <v>702</v>
      </c>
      <c r="G108">
        <v>41688</v>
      </c>
      <c r="I108">
        <v>702</v>
      </c>
      <c r="J108">
        <v>73008</v>
      </c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:48" x14ac:dyDescent="0.35">
      <c r="F109">
        <v>28201</v>
      </c>
      <c r="G109">
        <v>1537476</v>
      </c>
      <c r="I109">
        <v>28216</v>
      </c>
      <c r="J109">
        <v>2934464</v>
      </c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:48" x14ac:dyDescent="0.35">
      <c r="F110">
        <v>68176</v>
      </c>
      <c r="G110">
        <v>3616064</v>
      </c>
      <c r="I110">
        <v>68203</v>
      </c>
      <c r="J110">
        <v>7093112</v>
      </c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:48" x14ac:dyDescent="0.35">
      <c r="F111">
        <v>128258</v>
      </c>
      <c r="G111">
        <v>6740264</v>
      </c>
      <c r="I111">
        <v>128290</v>
      </c>
      <c r="J111">
        <v>13342160</v>
      </c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:48" x14ac:dyDescent="0.35">
      <c r="F112">
        <v>228197</v>
      </c>
      <c r="G112">
        <v>11937460</v>
      </c>
      <c r="I112">
        <v>228222</v>
      </c>
      <c r="J112">
        <v>23735088</v>
      </c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5:48" x14ac:dyDescent="0.35"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5:48" x14ac:dyDescent="0.35">
      <c r="E114">
        <v>100000</v>
      </c>
      <c r="F114">
        <v>702</v>
      </c>
      <c r="G114">
        <v>41688</v>
      </c>
      <c r="I114">
        <v>702</v>
      </c>
      <c r="J114">
        <v>73008</v>
      </c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5:48" x14ac:dyDescent="0.35">
      <c r="F115">
        <v>207596</v>
      </c>
      <c r="G115">
        <v>11460096</v>
      </c>
      <c r="I115">
        <v>207709</v>
      </c>
      <c r="J115">
        <v>21601736</v>
      </c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5:48" x14ac:dyDescent="0.35">
      <c r="F116">
        <v>607466</v>
      </c>
      <c r="G116">
        <v>32251704</v>
      </c>
      <c r="I116">
        <v>607609</v>
      </c>
      <c r="J116">
        <v>63191336</v>
      </c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5:48" x14ac:dyDescent="0.35">
      <c r="F117">
        <v>1207298</v>
      </c>
      <c r="G117">
        <v>63440856</v>
      </c>
      <c r="I117">
        <v>1207426</v>
      </c>
      <c r="J117">
        <v>125572304</v>
      </c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5:48" x14ac:dyDescent="0.35">
      <c r="F118">
        <v>2207595</v>
      </c>
      <c r="G118">
        <v>115460508</v>
      </c>
      <c r="I118">
        <v>2207726</v>
      </c>
      <c r="J118">
        <v>229603504</v>
      </c>
      <c r="AN118" s="1"/>
      <c r="AO118" s="1"/>
      <c r="AP118" s="1"/>
      <c r="AQ118" s="1"/>
      <c r="AR118" s="1"/>
      <c r="AS118" s="1"/>
      <c r="AT118" s="1"/>
      <c r="AU118" s="1"/>
      <c r="AV118" s="1"/>
    </row>
    <row r="120" spans="5:48" x14ac:dyDescent="0.35">
      <c r="E120">
        <v>500000</v>
      </c>
      <c r="F120">
        <v>702</v>
      </c>
      <c r="G120">
        <v>41688</v>
      </c>
      <c r="I120">
        <v>702</v>
      </c>
      <c r="J120">
        <v>73008</v>
      </c>
    </row>
    <row r="121" spans="5:48" x14ac:dyDescent="0.35">
      <c r="F121">
        <v>810356</v>
      </c>
      <c r="G121">
        <v>45058544</v>
      </c>
      <c r="I121">
        <v>811710</v>
      </c>
      <c r="J121">
        <v>84417840</v>
      </c>
    </row>
    <row r="122" spans="5:48" x14ac:dyDescent="0.35">
      <c r="F122">
        <v>2809979</v>
      </c>
      <c r="G122">
        <v>149044860</v>
      </c>
      <c r="I122">
        <v>2811357</v>
      </c>
      <c r="J122">
        <v>292381128</v>
      </c>
    </row>
    <row r="123" spans="5:48" x14ac:dyDescent="0.35">
      <c r="F123">
        <v>5810398</v>
      </c>
      <c r="G123">
        <v>305064008</v>
      </c>
      <c r="I123">
        <v>5811654</v>
      </c>
      <c r="J123">
        <v>604412016</v>
      </c>
    </row>
    <row r="124" spans="5:48" x14ac:dyDescent="0.35">
      <c r="F124">
        <v>10810583</v>
      </c>
      <c r="G124">
        <v>565078428</v>
      </c>
      <c r="I124">
        <v>10811917</v>
      </c>
      <c r="J124">
        <v>1124439368</v>
      </c>
    </row>
  </sheetData>
  <mergeCells count="779">
    <mergeCell ref="A91:AC92"/>
    <mergeCell ref="A1:AC3"/>
    <mergeCell ref="A42:AC44"/>
    <mergeCell ref="AC4:AC41"/>
    <mergeCell ref="AB4:AB41"/>
    <mergeCell ref="C40:N41"/>
    <mergeCell ref="P40:AA41"/>
    <mergeCell ref="O4:O41"/>
    <mergeCell ref="B4:B41"/>
    <mergeCell ref="A4:A41"/>
    <mergeCell ref="P38:R38"/>
    <mergeCell ref="S38:U38"/>
    <mergeCell ref="V38:X38"/>
    <mergeCell ref="Y38:AA38"/>
    <mergeCell ref="P39:R39"/>
    <mergeCell ref="S39:U39"/>
    <mergeCell ref="V39:X39"/>
    <mergeCell ref="Y39:AA39"/>
    <mergeCell ref="P36:R36"/>
    <mergeCell ref="S36:U36"/>
    <mergeCell ref="V36:X36"/>
    <mergeCell ref="Y36:AA36"/>
    <mergeCell ref="P37:R37"/>
    <mergeCell ref="S37:U37"/>
    <mergeCell ref="V37:X37"/>
    <mergeCell ref="Y37:AA37"/>
    <mergeCell ref="P33:AA33"/>
    <mergeCell ref="P34:R34"/>
    <mergeCell ref="S34:U34"/>
    <mergeCell ref="V34:X34"/>
    <mergeCell ref="Y34:AA34"/>
    <mergeCell ref="P35:R35"/>
    <mergeCell ref="S35:U35"/>
    <mergeCell ref="V35:X35"/>
    <mergeCell ref="Y35:AA35"/>
    <mergeCell ref="P31:R31"/>
    <mergeCell ref="S31:U31"/>
    <mergeCell ref="V31:X31"/>
    <mergeCell ref="Y31:AA31"/>
    <mergeCell ref="P32:R32"/>
    <mergeCell ref="S32:U32"/>
    <mergeCell ref="V32:X32"/>
    <mergeCell ref="Y32:AA32"/>
    <mergeCell ref="P29:R29"/>
    <mergeCell ref="S29:U29"/>
    <mergeCell ref="V29:X29"/>
    <mergeCell ref="Y29:AA29"/>
    <mergeCell ref="P30:R30"/>
    <mergeCell ref="S30:U30"/>
    <mergeCell ref="V30:X30"/>
    <mergeCell ref="Y30:AA30"/>
    <mergeCell ref="P26:AA26"/>
    <mergeCell ref="P27:R27"/>
    <mergeCell ref="S27:U27"/>
    <mergeCell ref="V27:X27"/>
    <mergeCell ref="Y27:AA27"/>
    <mergeCell ref="P28:R28"/>
    <mergeCell ref="S28:U28"/>
    <mergeCell ref="V28:X28"/>
    <mergeCell ref="Y28:AA28"/>
    <mergeCell ref="P24:R24"/>
    <mergeCell ref="S24:U24"/>
    <mergeCell ref="V24:X24"/>
    <mergeCell ref="Y24:AA24"/>
    <mergeCell ref="P25:R25"/>
    <mergeCell ref="S25:U25"/>
    <mergeCell ref="V25:X25"/>
    <mergeCell ref="Y25:AA25"/>
    <mergeCell ref="P22:R22"/>
    <mergeCell ref="S22:U22"/>
    <mergeCell ref="V22:X22"/>
    <mergeCell ref="Y22:AA22"/>
    <mergeCell ref="P23:R23"/>
    <mergeCell ref="S23:U23"/>
    <mergeCell ref="V23:X23"/>
    <mergeCell ref="Y23:AA23"/>
    <mergeCell ref="P19:AA19"/>
    <mergeCell ref="P20:R20"/>
    <mergeCell ref="S20:U20"/>
    <mergeCell ref="V20:X20"/>
    <mergeCell ref="Y20:AA20"/>
    <mergeCell ref="P21:R21"/>
    <mergeCell ref="S21:U21"/>
    <mergeCell ref="V21:X21"/>
    <mergeCell ref="Y21:AA21"/>
    <mergeCell ref="P17:R17"/>
    <mergeCell ref="S17:U17"/>
    <mergeCell ref="V17:X17"/>
    <mergeCell ref="Y17:AA17"/>
    <mergeCell ref="P18:R18"/>
    <mergeCell ref="S18:U18"/>
    <mergeCell ref="V18:X18"/>
    <mergeCell ref="Y18:AA18"/>
    <mergeCell ref="P15:R15"/>
    <mergeCell ref="S15:U15"/>
    <mergeCell ref="V15:X15"/>
    <mergeCell ref="Y15:AA15"/>
    <mergeCell ref="P16:R16"/>
    <mergeCell ref="S16:U16"/>
    <mergeCell ref="V16:X16"/>
    <mergeCell ref="Y16:AA16"/>
    <mergeCell ref="P12:AA12"/>
    <mergeCell ref="P13:R13"/>
    <mergeCell ref="S13:U13"/>
    <mergeCell ref="V13:X13"/>
    <mergeCell ref="Y13:AA13"/>
    <mergeCell ref="P14:R14"/>
    <mergeCell ref="S14:U14"/>
    <mergeCell ref="V14:X14"/>
    <mergeCell ref="Y14:AA14"/>
    <mergeCell ref="P10:R10"/>
    <mergeCell ref="S10:U10"/>
    <mergeCell ref="V10:X10"/>
    <mergeCell ref="Y10:AA10"/>
    <mergeCell ref="P11:R11"/>
    <mergeCell ref="S11:U11"/>
    <mergeCell ref="V11:X11"/>
    <mergeCell ref="Y11:AA11"/>
    <mergeCell ref="Y7:AA7"/>
    <mergeCell ref="P8:R8"/>
    <mergeCell ref="S8:U8"/>
    <mergeCell ref="V8:X8"/>
    <mergeCell ref="Y8:AA8"/>
    <mergeCell ref="P9:R9"/>
    <mergeCell ref="S9:U9"/>
    <mergeCell ref="V9:X9"/>
    <mergeCell ref="Y9:AA9"/>
    <mergeCell ref="P4:AA5"/>
    <mergeCell ref="P6:R6"/>
    <mergeCell ref="S6:U6"/>
    <mergeCell ref="V6:X6"/>
    <mergeCell ref="Y6:AA6"/>
    <mergeCell ref="P7:R7"/>
    <mergeCell ref="S7:U7"/>
    <mergeCell ref="V7:X7"/>
    <mergeCell ref="I37:K37"/>
    <mergeCell ref="L37:N37"/>
    <mergeCell ref="I29:K29"/>
    <mergeCell ref="L29:N29"/>
    <mergeCell ref="I30:K30"/>
    <mergeCell ref="L30:N30"/>
    <mergeCell ref="I31:K31"/>
    <mergeCell ref="L31:N31"/>
    <mergeCell ref="I24:K24"/>
    <mergeCell ref="L24:N24"/>
    <mergeCell ref="I25:K25"/>
    <mergeCell ref="L25:N25"/>
    <mergeCell ref="C26:N26"/>
    <mergeCell ref="I27:K27"/>
    <mergeCell ref="L27:N27"/>
    <mergeCell ref="I21:K21"/>
    <mergeCell ref="I16:K16"/>
    <mergeCell ref="L16:N16"/>
    <mergeCell ref="I17:K17"/>
    <mergeCell ref="L17:N17"/>
    <mergeCell ref="I18:K18"/>
    <mergeCell ref="L18:N18"/>
    <mergeCell ref="I38:K38"/>
    <mergeCell ref="L38:N38"/>
    <mergeCell ref="I39:K39"/>
    <mergeCell ref="L39:N39"/>
    <mergeCell ref="I34:K34"/>
    <mergeCell ref="L34:N34"/>
    <mergeCell ref="I35:K35"/>
    <mergeCell ref="L35:N35"/>
    <mergeCell ref="I36:K36"/>
    <mergeCell ref="L36:N36"/>
    <mergeCell ref="I28:K28"/>
    <mergeCell ref="L28:N28"/>
    <mergeCell ref="I13:K13"/>
    <mergeCell ref="L13:N13"/>
    <mergeCell ref="I14:K14"/>
    <mergeCell ref="L14:N14"/>
    <mergeCell ref="I15:K15"/>
    <mergeCell ref="L15:N15"/>
    <mergeCell ref="L8:N8"/>
    <mergeCell ref="I9:K9"/>
    <mergeCell ref="L9:N9"/>
    <mergeCell ref="I10:K10"/>
    <mergeCell ref="L10:N10"/>
    <mergeCell ref="I11:K11"/>
    <mergeCell ref="L11:N11"/>
    <mergeCell ref="C39:E39"/>
    <mergeCell ref="F39:H39"/>
    <mergeCell ref="I6:K6"/>
    <mergeCell ref="L6:N6"/>
    <mergeCell ref="C4:N5"/>
    <mergeCell ref="C12:N12"/>
    <mergeCell ref="I7:K7"/>
    <mergeCell ref="L7:N7"/>
    <mergeCell ref="I8:K8"/>
    <mergeCell ref="C36:E36"/>
    <mergeCell ref="F36:H36"/>
    <mergeCell ref="C37:E37"/>
    <mergeCell ref="F37:H37"/>
    <mergeCell ref="C38:E38"/>
    <mergeCell ref="F38:H38"/>
    <mergeCell ref="C32:E32"/>
    <mergeCell ref="F32:H32"/>
    <mergeCell ref="C34:E34"/>
    <mergeCell ref="F34:H34"/>
    <mergeCell ref="C35:E35"/>
    <mergeCell ref="F35:H35"/>
    <mergeCell ref="I32:K32"/>
    <mergeCell ref="L32:N32"/>
    <mergeCell ref="C33:N33"/>
    <mergeCell ref="C29:E29"/>
    <mergeCell ref="F29:H29"/>
    <mergeCell ref="C30:E30"/>
    <mergeCell ref="F30:H30"/>
    <mergeCell ref="C31:E31"/>
    <mergeCell ref="F31:H31"/>
    <mergeCell ref="C25:E25"/>
    <mergeCell ref="F25:H25"/>
    <mergeCell ref="C27:E27"/>
    <mergeCell ref="F27:H27"/>
    <mergeCell ref="C28:E28"/>
    <mergeCell ref="F28:H28"/>
    <mergeCell ref="C22:E22"/>
    <mergeCell ref="F22:H22"/>
    <mergeCell ref="C23:E23"/>
    <mergeCell ref="F23:H23"/>
    <mergeCell ref="C24:E24"/>
    <mergeCell ref="F24:H24"/>
    <mergeCell ref="C18:E18"/>
    <mergeCell ref="F18:H18"/>
    <mergeCell ref="C20:E20"/>
    <mergeCell ref="F20:H20"/>
    <mergeCell ref="C21:E21"/>
    <mergeCell ref="F21:H21"/>
    <mergeCell ref="C19:N19"/>
    <mergeCell ref="I20:K20"/>
    <mergeCell ref="L20:N20"/>
    <mergeCell ref="L21:N21"/>
    <mergeCell ref="I22:K22"/>
    <mergeCell ref="L22:N22"/>
    <mergeCell ref="I23:K23"/>
    <mergeCell ref="L23:N23"/>
    <mergeCell ref="F14:H14"/>
    <mergeCell ref="F15:H15"/>
    <mergeCell ref="C16:E16"/>
    <mergeCell ref="F16:H16"/>
    <mergeCell ref="C17:E17"/>
    <mergeCell ref="F17:H17"/>
    <mergeCell ref="C13:E13"/>
    <mergeCell ref="C14:E14"/>
    <mergeCell ref="C15:E15"/>
    <mergeCell ref="F7:H7"/>
    <mergeCell ref="F8:H8"/>
    <mergeCell ref="F9:H9"/>
    <mergeCell ref="F10:H10"/>
    <mergeCell ref="F11:H11"/>
    <mergeCell ref="F13:H13"/>
    <mergeCell ref="F6:H6"/>
    <mergeCell ref="C6:E6"/>
    <mergeCell ref="C7:E7"/>
    <mergeCell ref="C8:E8"/>
    <mergeCell ref="C9:E9"/>
    <mergeCell ref="C10:E10"/>
    <mergeCell ref="C11:E11"/>
    <mergeCell ref="AE1:BG3"/>
    <mergeCell ref="AE4:AE41"/>
    <mergeCell ref="AF4:AF41"/>
    <mergeCell ref="AG4:AR5"/>
    <mergeCell ref="AS4:AS41"/>
    <mergeCell ref="AT4:BE5"/>
    <mergeCell ref="BF4:BF41"/>
    <mergeCell ref="BG4:BG41"/>
    <mergeCell ref="AG6:AI6"/>
    <mergeCell ref="AJ6:AL6"/>
    <mergeCell ref="AM6:AO6"/>
    <mergeCell ref="AP6:AR6"/>
    <mergeCell ref="AT6:AV6"/>
    <mergeCell ref="AW6:AY6"/>
    <mergeCell ref="AZ6:BB6"/>
    <mergeCell ref="BC6:BE6"/>
    <mergeCell ref="AG7:AI7"/>
    <mergeCell ref="AJ7:AL7"/>
    <mergeCell ref="AM7:AO7"/>
    <mergeCell ref="AP7:AR7"/>
    <mergeCell ref="AT7:AV7"/>
    <mergeCell ref="AW7:AY7"/>
    <mergeCell ref="AZ7:BB7"/>
    <mergeCell ref="BC7:BE7"/>
    <mergeCell ref="AG8:AI8"/>
    <mergeCell ref="AJ8:AL8"/>
    <mergeCell ref="AM8:AO8"/>
    <mergeCell ref="AP8:AR8"/>
    <mergeCell ref="AT8:AV8"/>
    <mergeCell ref="AW8:AY8"/>
    <mergeCell ref="AZ8:BB8"/>
    <mergeCell ref="BC8:BE8"/>
    <mergeCell ref="AG9:AI9"/>
    <mergeCell ref="AJ9:AL9"/>
    <mergeCell ref="AM9:AO9"/>
    <mergeCell ref="AP9:AR9"/>
    <mergeCell ref="AT9:AV9"/>
    <mergeCell ref="AW9:AY9"/>
    <mergeCell ref="AZ9:BB9"/>
    <mergeCell ref="BC9:BE9"/>
    <mergeCell ref="AG10:AI10"/>
    <mergeCell ref="AJ10:AL10"/>
    <mergeCell ref="AM10:AO10"/>
    <mergeCell ref="AP10:AR10"/>
    <mergeCell ref="AT10:AV10"/>
    <mergeCell ref="AW10:AY10"/>
    <mergeCell ref="AZ10:BB10"/>
    <mergeCell ref="BC10:BE10"/>
    <mergeCell ref="AG11:AI11"/>
    <mergeCell ref="AJ11:AL11"/>
    <mergeCell ref="AM11:AO11"/>
    <mergeCell ref="AP11:AR11"/>
    <mergeCell ref="AT11:AV11"/>
    <mergeCell ref="AW11:AY11"/>
    <mergeCell ref="AZ11:BB11"/>
    <mergeCell ref="BC11:BE11"/>
    <mergeCell ref="AG12:AR12"/>
    <mergeCell ref="AT12:BE12"/>
    <mergeCell ref="AG13:AI13"/>
    <mergeCell ref="AJ13:AL13"/>
    <mergeCell ref="AM13:AO13"/>
    <mergeCell ref="AP13:AR13"/>
    <mergeCell ref="AT13:AV13"/>
    <mergeCell ref="AW13:AY13"/>
    <mergeCell ref="AZ13:BB13"/>
    <mergeCell ref="BC13:BE13"/>
    <mergeCell ref="AG14:AI14"/>
    <mergeCell ref="AJ14:AL14"/>
    <mergeCell ref="AM14:AO14"/>
    <mergeCell ref="AP14:AR14"/>
    <mergeCell ref="AT14:AV14"/>
    <mergeCell ref="AW14:AY14"/>
    <mergeCell ref="AZ14:BB14"/>
    <mergeCell ref="BC14:BE14"/>
    <mergeCell ref="AG15:AI15"/>
    <mergeCell ref="AJ15:AL15"/>
    <mergeCell ref="AM15:AO15"/>
    <mergeCell ref="AP15:AR15"/>
    <mergeCell ref="AT15:AV15"/>
    <mergeCell ref="AW15:AY15"/>
    <mergeCell ref="AZ15:BB15"/>
    <mergeCell ref="BC15:BE15"/>
    <mergeCell ref="AG16:AI16"/>
    <mergeCell ref="AJ16:AL16"/>
    <mergeCell ref="AM16:AO16"/>
    <mergeCell ref="AP16:AR16"/>
    <mergeCell ref="AT16:AV16"/>
    <mergeCell ref="AW16:AY16"/>
    <mergeCell ref="AZ16:BB16"/>
    <mergeCell ref="BC16:BE16"/>
    <mergeCell ref="AG17:AI17"/>
    <mergeCell ref="AJ17:AL17"/>
    <mergeCell ref="AM17:AO17"/>
    <mergeCell ref="AP17:AR17"/>
    <mergeCell ref="AT17:AV17"/>
    <mergeCell ref="AW17:AY17"/>
    <mergeCell ref="AZ17:BB17"/>
    <mergeCell ref="BC17:BE17"/>
    <mergeCell ref="AG18:AI18"/>
    <mergeCell ref="AJ18:AL18"/>
    <mergeCell ref="AM18:AO18"/>
    <mergeCell ref="AP18:AR18"/>
    <mergeCell ref="AT18:AV18"/>
    <mergeCell ref="AW18:AY18"/>
    <mergeCell ref="AZ18:BB18"/>
    <mergeCell ref="BC18:BE18"/>
    <mergeCell ref="AG19:AR19"/>
    <mergeCell ref="AT19:BE19"/>
    <mergeCell ref="AG20:AI20"/>
    <mergeCell ref="AJ20:AL20"/>
    <mergeCell ref="AM20:AO20"/>
    <mergeCell ref="AP20:AR20"/>
    <mergeCell ref="AT20:AV20"/>
    <mergeCell ref="AW20:AY20"/>
    <mergeCell ref="AZ20:BB20"/>
    <mergeCell ref="BC20:BE20"/>
    <mergeCell ref="AG21:AI21"/>
    <mergeCell ref="AJ21:AL21"/>
    <mergeCell ref="AM21:AO21"/>
    <mergeCell ref="AP21:AR21"/>
    <mergeCell ref="AT21:AV21"/>
    <mergeCell ref="AW21:AY21"/>
    <mergeCell ref="AZ21:BB21"/>
    <mergeCell ref="BC21:BE21"/>
    <mergeCell ref="AG22:AI22"/>
    <mergeCell ref="AJ22:AL22"/>
    <mergeCell ref="AM22:AO22"/>
    <mergeCell ref="AP22:AR22"/>
    <mergeCell ref="AT22:AV22"/>
    <mergeCell ref="AW22:AY22"/>
    <mergeCell ref="AZ22:BB22"/>
    <mergeCell ref="BC22:BE22"/>
    <mergeCell ref="AG23:AI23"/>
    <mergeCell ref="AJ23:AL23"/>
    <mergeCell ref="AM23:AO23"/>
    <mergeCell ref="AP23:AR23"/>
    <mergeCell ref="AT23:AV23"/>
    <mergeCell ref="AW23:AY23"/>
    <mergeCell ref="AZ23:BB23"/>
    <mergeCell ref="BC23:BE23"/>
    <mergeCell ref="AG24:AI24"/>
    <mergeCell ref="AJ24:AL24"/>
    <mergeCell ref="AM24:AO24"/>
    <mergeCell ref="AP24:AR24"/>
    <mergeCell ref="AT24:AV24"/>
    <mergeCell ref="AW24:AY24"/>
    <mergeCell ref="AZ24:BB24"/>
    <mergeCell ref="BC24:BE24"/>
    <mergeCell ref="AG25:AI25"/>
    <mergeCell ref="AJ25:AL25"/>
    <mergeCell ref="AM25:AO25"/>
    <mergeCell ref="AP25:AR25"/>
    <mergeCell ref="AT25:AV25"/>
    <mergeCell ref="AW25:AY25"/>
    <mergeCell ref="AZ25:BB25"/>
    <mergeCell ref="BC25:BE25"/>
    <mergeCell ref="AG26:AR26"/>
    <mergeCell ref="AT26:BE26"/>
    <mergeCell ref="AG27:AI27"/>
    <mergeCell ref="AJ27:AL27"/>
    <mergeCell ref="AM27:AO27"/>
    <mergeCell ref="AP27:AR27"/>
    <mergeCell ref="AT27:AV27"/>
    <mergeCell ref="AW27:AY27"/>
    <mergeCell ref="AZ27:BB27"/>
    <mergeCell ref="BC27:BE27"/>
    <mergeCell ref="AG28:AI28"/>
    <mergeCell ref="AJ28:AL28"/>
    <mergeCell ref="AM28:AO28"/>
    <mergeCell ref="AP28:AR28"/>
    <mergeCell ref="AT28:AV28"/>
    <mergeCell ref="AW28:AY28"/>
    <mergeCell ref="AZ28:BB28"/>
    <mergeCell ref="BC28:BE28"/>
    <mergeCell ref="AG29:AI29"/>
    <mergeCell ref="AJ29:AL29"/>
    <mergeCell ref="AM29:AO29"/>
    <mergeCell ref="AP29:AR29"/>
    <mergeCell ref="AT29:AV29"/>
    <mergeCell ref="AW29:AY29"/>
    <mergeCell ref="AZ29:BB29"/>
    <mergeCell ref="BC29:BE29"/>
    <mergeCell ref="AG30:AI30"/>
    <mergeCell ref="AJ30:AL30"/>
    <mergeCell ref="AM30:AO30"/>
    <mergeCell ref="AP30:AR30"/>
    <mergeCell ref="AT30:AV30"/>
    <mergeCell ref="AW30:AY30"/>
    <mergeCell ref="AZ30:BB30"/>
    <mergeCell ref="BC30:BE30"/>
    <mergeCell ref="AG31:AI31"/>
    <mergeCell ref="AJ31:AL31"/>
    <mergeCell ref="AM31:AO31"/>
    <mergeCell ref="AP31:AR31"/>
    <mergeCell ref="AT31:AV31"/>
    <mergeCell ref="AW31:AY31"/>
    <mergeCell ref="AZ31:BB31"/>
    <mergeCell ref="BC31:BE31"/>
    <mergeCell ref="AG32:AI32"/>
    <mergeCell ref="AJ32:AL32"/>
    <mergeCell ref="AM32:AO32"/>
    <mergeCell ref="AP32:AR32"/>
    <mergeCell ref="AT32:AV32"/>
    <mergeCell ref="AW32:AY32"/>
    <mergeCell ref="AZ32:BB32"/>
    <mergeCell ref="BC32:BE32"/>
    <mergeCell ref="AG33:AR33"/>
    <mergeCell ref="AT33:BE33"/>
    <mergeCell ref="AG34:AI34"/>
    <mergeCell ref="AJ34:AL34"/>
    <mergeCell ref="AM34:AO34"/>
    <mergeCell ref="AP34:AR34"/>
    <mergeCell ref="AT34:AV34"/>
    <mergeCell ref="AW34:AY34"/>
    <mergeCell ref="AZ34:BB34"/>
    <mergeCell ref="BC34:BE34"/>
    <mergeCell ref="AG35:AI35"/>
    <mergeCell ref="AJ35:AL35"/>
    <mergeCell ref="AM35:AO35"/>
    <mergeCell ref="AP35:AR35"/>
    <mergeCell ref="AT35:AV35"/>
    <mergeCell ref="AW35:AY35"/>
    <mergeCell ref="AZ35:BB35"/>
    <mergeCell ref="BC35:BE35"/>
    <mergeCell ref="AG36:AI36"/>
    <mergeCell ref="AJ36:AL36"/>
    <mergeCell ref="AM36:AO36"/>
    <mergeCell ref="AP36:AR36"/>
    <mergeCell ref="AT36:AV36"/>
    <mergeCell ref="AW36:AY36"/>
    <mergeCell ref="AZ36:BB36"/>
    <mergeCell ref="BC36:BE36"/>
    <mergeCell ref="AG37:AI37"/>
    <mergeCell ref="AJ37:AL37"/>
    <mergeCell ref="AM37:AO37"/>
    <mergeCell ref="AP37:AR37"/>
    <mergeCell ref="AT37:AV37"/>
    <mergeCell ref="AW37:AY37"/>
    <mergeCell ref="AZ37:BB37"/>
    <mergeCell ref="BC37:BE37"/>
    <mergeCell ref="AG40:AR41"/>
    <mergeCell ref="AT40:BE41"/>
    <mergeCell ref="AE42:BG44"/>
    <mergeCell ref="AG38:AI38"/>
    <mergeCell ref="AJ38:AL38"/>
    <mergeCell ref="AM38:AO38"/>
    <mergeCell ref="AP38:AR38"/>
    <mergeCell ref="AT38:AV38"/>
    <mergeCell ref="AW38:AY38"/>
    <mergeCell ref="AZ38:BB38"/>
    <mergeCell ref="BC38:BE38"/>
    <mergeCell ref="AG39:AI39"/>
    <mergeCell ref="AJ39:AL39"/>
    <mergeCell ref="AM39:AO39"/>
    <mergeCell ref="AP39:AR39"/>
    <mergeCell ref="AT39:AV39"/>
    <mergeCell ref="AW39:AY39"/>
    <mergeCell ref="AZ39:BB39"/>
    <mergeCell ref="BC39:BE39"/>
    <mergeCell ref="AE46:BG48"/>
    <mergeCell ref="AE49:AE86"/>
    <mergeCell ref="AF49:AF86"/>
    <mergeCell ref="AG49:AR50"/>
    <mergeCell ref="AS49:AS86"/>
    <mergeCell ref="AT49:BE50"/>
    <mergeCell ref="BF49:BF86"/>
    <mergeCell ref="BG49:BG86"/>
    <mergeCell ref="AG51:AI51"/>
    <mergeCell ref="AJ51:AL51"/>
    <mergeCell ref="AM51:AO51"/>
    <mergeCell ref="AP51:AR51"/>
    <mergeCell ref="AT51:AV51"/>
    <mergeCell ref="AW51:AY51"/>
    <mergeCell ref="AZ51:BB51"/>
    <mergeCell ref="BC51:BE51"/>
    <mergeCell ref="AG52:AI52"/>
    <mergeCell ref="AJ52:AL52"/>
    <mergeCell ref="AM52:AO52"/>
    <mergeCell ref="AP52:AR52"/>
    <mergeCell ref="AT52:AV52"/>
    <mergeCell ref="AW52:AY52"/>
    <mergeCell ref="AZ52:BB52"/>
    <mergeCell ref="BC52:BE52"/>
    <mergeCell ref="AG53:AI53"/>
    <mergeCell ref="AJ53:AL53"/>
    <mergeCell ref="AM53:AO53"/>
    <mergeCell ref="AP53:AR53"/>
    <mergeCell ref="AT53:AV53"/>
    <mergeCell ref="AW53:AY53"/>
    <mergeCell ref="AZ53:BB53"/>
    <mergeCell ref="BC53:BE53"/>
    <mergeCell ref="AG54:AI54"/>
    <mergeCell ref="AJ54:AL54"/>
    <mergeCell ref="AM54:AO54"/>
    <mergeCell ref="AP54:AR54"/>
    <mergeCell ref="AT54:AV54"/>
    <mergeCell ref="AW54:AY54"/>
    <mergeCell ref="AZ54:BB54"/>
    <mergeCell ref="BC54:BE54"/>
    <mergeCell ref="AG55:AI55"/>
    <mergeCell ref="AJ55:AL55"/>
    <mergeCell ref="AM55:AO55"/>
    <mergeCell ref="AP55:AR55"/>
    <mergeCell ref="AT55:AV55"/>
    <mergeCell ref="AW55:AY55"/>
    <mergeCell ref="AZ55:BB55"/>
    <mergeCell ref="BC55:BE55"/>
    <mergeCell ref="AG56:AI56"/>
    <mergeCell ref="AJ56:AL56"/>
    <mergeCell ref="AM56:AO56"/>
    <mergeCell ref="AP56:AR56"/>
    <mergeCell ref="AT56:AV56"/>
    <mergeCell ref="AW56:AY56"/>
    <mergeCell ref="AZ56:BB56"/>
    <mergeCell ref="BC56:BE56"/>
    <mergeCell ref="AG57:AR57"/>
    <mergeCell ref="AT57:BE57"/>
    <mergeCell ref="AG58:AI58"/>
    <mergeCell ref="AJ58:AL58"/>
    <mergeCell ref="AM58:AO58"/>
    <mergeCell ref="AP58:AR58"/>
    <mergeCell ref="AT58:AV58"/>
    <mergeCell ref="AW58:AY58"/>
    <mergeCell ref="AZ58:BB58"/>
    <mergeCell ref="BC58:BE58"/>
    <mergeCell ref="AG59:AI59"/>
    <mergeCell ref="AJ59:AL59"/>
    <mergeCell ref="AM59:AO59"/>
    <mergeCell ref="AP59:AR59"/>
    <mergeCell ref="AT59:AV59"/>
    <mergeCell ref="AW59:AY59"/>
    <mergeCell ref="AZ59:BB59"/>
    <mergeCell ref="BC59:BE59"/>
    <mergeCell ref="AG60:AI60"/>
    <mergeCell ref="AJ60:AL60"/>
    <mergeCell ref="AM60:AO60"/>
    <mergeCell ref="AP60:AR60"/>
    <mergeCell ref="AT60:AV60"/>
    <mergeCell ref="AW60:AY60"/>
    <mergeCell ref="AZ60:BB60"/>
    <mergeCell ref="BC60:BE60"/>
    <mergeCell ref="AG61:AI61"/>
    <mergeCell ref="AJ61:AL61"/>
    <mergeCell ref="AM61:AO61"/>
    <mergeCell ref="AP61:AR61"/>
    <mergeCell ref="AT61:AV61"/>
    <mergeCell ref="AW61:AY61"/>
    <mergeCell ref="AZ61:BB61"/>
    <mergeCell ref="BC61:BE61"/>
    <mergeCell ref="AG62:AI62"/>
    <mergeCell ref="AJ62:AL62"/>
    <mergeCell ref="AM62:AO62"/>
    <mergeCell ref="AP62:AR62"/>
    <mergeCell ref="AT62:AV62"/>
    <mergeCell ref="AW62:AY62"/>
    <mergeCell ref="AZ62:BB62"/>
    <mergeCell ref="BC62:BE62"/>
    <mergeCell ref="AG63:AI63"/>
    <mergeCell ref="AJ63:AL63"/>
    <mergeCell ref="AM63:AO63"/>
    <mergeCell ref="AP63:AR63"/>
    <mergeCell ref="AT63:AV63"/>
    <mergeCell ref="AW63:AY63"/>
    <mergeCell ref="AZ63:BB63"/>
    <mergeCell ref="BC63:BE63"/>
    <mergeCell ref="AG64:AR64"/>
    <mergeCell ref="AT64:BE64"/>
    <mergeCell ref="AG65:AI65"/>
    <mergeCell ref="AJ65:AL65"/>
    <mergeCell ref="AM65:AO65"/>
    <mergeCell ref="AP65:AR65"/>
    <mergeCell ref="AT65:AV65"/>
    <mergeCell ref="AW65:AY65"/>
    <mergeCell ref="AZ65:BB65"/>
    <mergeCell ref="BC65:BE65"/>
    <mergeCell ref="AG66:AI66"/>
    <mergeCell ref="AJ66:AL66"/>
    <mergeCell ref="AM66:AO66"/>
    <mergeCell ref="AP66:AR66"/>
    <mergeCell ref="AT66:AV66"/>
    <mergeCell ref="AW66:AY66"/>
    <mergeCell ref="AZ66:BB66"/>
    <mergeCell ref="BC66:BE66"/>
    <mergeCell ref="AG67:AI67"/>
    <mergeCell ref="AJ67:AL67"/>
    <mergeCell ref="AM67:AO67"/>
    <mergeCell ref="AP67:AR67"/>
    <mergeCell ref="AT67:AV67"/>
    <mergeCell ref="AW67:AY67"/>
    <mergeCell ref="AZ67:BB67"/>
    <mergeCell ref="BC67:BE67"/>
    <mergeCell ref="AG68:AI68"/>
    <mergeCell ref="AJ68:AL68"/>
    <mergeCell ref="AM68:AO68"/>
    <mergeCell ref="AP68:AR68"/>
    <mergeCell ref="AT68:AV68"/>
    <mergeCell ref="AW68:AY68"/>
    <mergeCell ref="AZ68:BB68"/>
    <mergeCell ref="BC68:BE68"/>
    <mergeCell ref="AG69:AI69"/>
    <mergeCell ref="AJ69:AL69"/>
    <mergeCell ref="AM69:AO69"/>
    <mergeCell ref="AP69:AR69"/>
    <mergeCell ref="AT69:AV69"/>
    <mergeCell ref="AW69:AY69"/>
    <mergeCell ref="AZ69:BB69"/>
    <mergeCell ref="BC69:BE69"/>
    <mergeCell ref="AG70:AI70"/>
    <mergeCell ref="AJ70:AL70"/>
    <mergeCell ref="AM70:AO70"/>
    <mergeCell ref="AP70:AR70"/>
    <mergeCell ref="AT70:AV70"/>
    <mergeCell ref="AW70:AY70"/>
    <mergeCell ref="AZ70:BB70"/>
    <mergeCell ref="BC70:BE70"/>
    <mergeCell ref="AG71:AR71"/>
    <mergeCell ref="AT71:BE71"/>
    <mergeCell ref="AG72:AI72"/>
    <mergeCell ref="AJ72:AL72"/>
    <mergeCell ref="AM72:AO72"/>
    <mergeCell ref="AP72:AR72"/>
    <mergeCell ref="AT72:AV72"/>
    <mergeCell ref="AW72:AY72"/>
    <mergeCell ref="AZ72:BB72"/>
    <mergeCell ref="BC72:BE72"/>
    <mergeCell ref="AG73:AI73"/>
    <mergeCell ref="AJ73:AL73"/>
    <mergeCell ref="AM73:AO73"/>
    <mergeCell ref="AP73:AR73"/>
    <mergeCell ref="AT73:AV73"/>
    <mergeCell ref="AW73:AY73"/>
    <mergeCell ref="AZ73:BB73"/>
    <mergeCell ref="BC73:BE73"/>
    <mergeCell ref="AG74:AI74"/>
    <mergeCell ref="AJ74:AL74"/>
    <mergeCell ref="AM74:AO74"/>
    <mergeCell ref="AP74:AR74"/>
    <mergeCell ref="AT74:AV74"/>
    <mergeCell ref="AW74:AY74"/>
    <mergeCell ref="AZ74:BB74"/>
    <mergeCell ref="BC74:BE74"/>
    <mergeCell ref="AG75:AI75"/>
    <mergeCell ref="AJ75:AL75"/>
    <mergeCell ref="AM75:AO75"/>
    <mergeCell ref="AP75:AR75"/>
    <mergeCell ref="AT75:AV75"/>
    <mergeCell ref="AW75:AY75"/>
    <mergeCell ref="AZ75:BB75"/>
    <mergeCell ref="BC75:BE75"/>
    <mergeCell ref="AG76:AI76"/>
    <mergeCell ref="AJ76:AL76"/>
    <mergeCell ref="AM76:AO76"/>
    <mergeCell ref="AP76:AR76"/>
    <mergeCell ref="AT76:AV76"/>
    <mergeCell ref="AW76:AY76"/>
    <mergeCell ref="AZ76:BB76"/>
    <mergeCell ref="BC76:BE76"/>
    <mergeCell ref="AG77:AI77"/>
    <mergeCell ref="AJ77:AL77"/>
    <mergeCell ref="AM77:AO77"/>
    <mergeCell ref="AP77:AR77"/>
    <mergeCell ref="AT77:AV77"/>
    <mergeCell ref="AW77:AY77"/>
    <mergeCell ref="AZ77:BB77"/>
    <mergeCell ref="BC77:BE77"/>
    <mergeCell ref="AG78:AR78"/>
    <mergeCell ref="AT78:BE78"/>
    <mergeCell ref="AG79:AI79"/>
    <mergeCell ref="AJ79:AL79"/>
    <mergeCell ref="AM79:AO79"/>
    <mergeCell ref="AP79:AR79"/>
    <mergeCell ref="AT79:AV79"/>
    <mergeCell ref="AW79:AY79"/>
    <mergeCell ref="AZ79:BB79"/>
    <mergeCell ref="BC79:BE79"/>
    <mergeCell ref="AG80:AI80"/>
    <mergeCell ref="AJ80:AL80"/>
    <mergeCell ref="AM80:AO80"/>
    <mergeCell ref="AP80:AR80"/>
    <mergeCell ref="AT80:AV80"/>
    <mergeCell ref="AW80:AY80"/>
    <mergeCell ref="AZ80:BB80"/>
    <mergeCell ref="BC80:BE80"/>
    <mergeCell ref="AG81:AI81"/>
    <mergeCell ref="AJ81:AL81"/>
    <mergeCell ref="AM81:AO81"/>
    <mergeCell ref="AP81:AR81"/>
    <mergeCell ref="AT81:AV81"/>
    <mergeCell ref="AW81:AY81"/>
    <mergeCell ref="AZ81:BB81"/>
    <mergeCell ref="BC81:BE81"/>
    <mergeCell ref="AG82:AI82"/>
    <mergeCell ref="AJ82:AL82"/>
    <mergeCell ref="AM82:AO82"/>
    <mergeCell ref="AP82:AR82"/>
    <mergeCell ref="AT82:AV82"/>
    <mergeCell ref="AW82:AY82"/>
    <mergeCell ref="AZ82:BB82"/>
    <mergeCell ref="BC82:BE82"/>
    <mergeCell ref="AN91:AV118"/>
    <mergeCell ref="AG85:AR86"/>
    <mergeCell ref="AT85:BE86"/>
    <mergeCell ref="AE87:BG89"/>
    <mergeCell ref="AG83:AI83"/>
    <mergeCell ref="AJ83:AL83"/>
    <mergeCell ref="AM83:AO83"/>
    <mergeCell ref="AP83:AR83"/>
    <mergeCell ref="AT83:AV83"/>
    <mergeCell ref="AW83:AY83"/>
    <mergeCell ref="AZ83:BB83"/>
    <mergeCell ref="BC83:BE83"/>
    <mergeCell ref="AG84:AI84"/>
    <mergeCell ref="AJ84:AL84"/>
    <mergeCell ref="AM84:AO84"/>
    <mergeCell ref="AP84:AR84"/>
    <mergeCell ref="AT84:AV84"/>
    <mergeCell ref="AW84:AY84"/>
    <mergeCell ref="AZ84:BB84"/>
    <mergeCell ref="BC84:BE8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2ACE-F496-4019-B19F-81CD0A784CBD}">
  <sheetPr>
    <tabColor rgb="FF00B0F0"/>
  </sheetPr>
  <dimension ref="A1:AG41"/>
  <sheetViews>
    <sheetView zoomScale="40" zoomScaleNormal="40" workbookViewId="0">
      <selection activeCell="G87" sqref="G87"/>
    </sheetView>
  </sheetViews>
  <sheetFormatPr defaultRowHeight="14.5" x14ac:dyDescent="0.35"/>
  <cols>
    <col min="26" max="26" width="12.1796875" bestFit="1" customWidth="1"/>
    <col min="27" max="28" width="15.1796875" customWidth="1"/>
    <col min="31" max="31" width="13.54296875" customWidth="1"/>
    <col min="32" max="32" width="13.90625" customWidth="1"/>
    <col min="33" max="33" width="12.81640625" customWidth="1"/>
  </cols>
  <sheetData>
    <row r="1" spans="1:33" x14ac:dyDescent="0.35">
      <c r="A1" s="48" t="s">
        <v>181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50"/>
    </row>
    <row r="2" spans="1:33" x14ac:dyDescent="0.35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3"/>
      <c r="Z2">
        <v>7888</v>
      </c>
      <c r="AA2">
        <v>8127</v>
      </c>
      <c r="AB2">
        <f>(Z2+AA2)/2</f>
        <v>8007.5</v>
      </c>
      <c r="AE2">
        <v>7884</v>
      </c>
      <c r="AF2">
        <v>8127</v>
      </c>
      <c r="AG2">
        <f>(AE2+AF2)/2</f>
        <v>8005.5</v>
      </c>
    </row>
    <row r="3" spans="1:33" x14ac:dyDescent="0.35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3"/>
      <c r="Z3">
        <v>37054</v>
      </c>
      <c r="AA3">
        <v>37734</v>
      </c>
      <c r="AB3">
        <f t="shared" ref="AB3:AB5" si="0">(Z3+AA3)/2</f>
        <v>37394</v>
      </c>
      <c r="AE3">
        <v>37046</v>
      </c>
      <c r="AF3">
        <v>37727</v>
      </c>
      <c r="AG3">
        <f t="shared" ref="AG3:AG6" si="1">(AE3+AF3)/2</f>
        <v>37386.5</v>
      </c>
    </row>
    <row r="4" spans="1:33" x14ac:dyDescent="0.35">
      <c r="A4" s="54"/>
      <c r="B4" s="56"/>
      <c r="C4" s="57" t="s">
        <v>0</v>
      </c>
      <c r="D4" s="57"/>
      <c r="E4" s="57"/>
      <c r="F4" s="57"/>
      <c r="G4" s="57"/>
      <c r="H4" s="57"/>
      <c r="I4" s="57"/>
      <c r="J4" s="57"/>
      <c r="K4" s="57"/>
      <c r="L4" s="56"/>
      <c r="M4" s="57" t="s">
        <v>53</v>
      </c>
      <c r="N4" s="57"/>
      <c r="O4" s="57"/>
      <c r="P4" s="57"/>
      <c r="Q4" s="57"/>
      <c r="R4" s="57"/>
      <c r="S4" s="57"/>
      <c r="T4" s="57"/>
      <c r="U4" s="57"/>
      <c r="V4" s="56"/>
      <c r="W4" s="59"/>
      <c r="Z4">
        <v>72632</v>
      </c>
      <c r="AA4">
        <v>72945</v>
      </c>
      <c r="AB4">
        <f t="shared" si="0"/>
        <v>72788.5</v>
      </c>
      <c r="AE4">
        <v>72599</v>
      </c>
      <c r="AF4">
        <v>72931</v>
      </c>
      <c r="AG4">
        <f t="shared" si="1"/>
        <v>72765</v>
      </c>
    </row>
    <row r="5" spans="1:33" ht="15" thickBot="1" x14ac:dyDescent="0.4">
      <c r="A5" s="54"/>
      <c r="B5" s="56"/>
      <c r="C5" s="58"/>
      <c r="D5" s="58"/>
      <c r="E5" s="58"/>
      <c r="F5" s="58"/>
      <c r="G5" s="58"/>
      <c r="H5" s="58"/>
      <c r="I5" s="58"/>
      <c r="J5" s="58"/>
      <c r="K5" s="58"/>
      <c r="L5" s="56"/>
      <c r="M5" s="58"/>
      <c r="N5" s="58"/>
      <c r="O5" s="58"/>
      <c r="P5" s="58"/>
      <c r="Q5" s="58"/>
      <c r="R5" s="58"/>
      <c r="S5" s="58"/>
      <c r="T5" s="58"/>
      <c r="U5" s="58"/>
      <c r="V5" s="56"/>
      <c r="W5" s="59"/>
      <c r="Z5">
        <v>655282</v>
      </c>
      <c r="AA5">
        <v>657388</v>
      </c>
      <c r="AB5">
        <f t="shared" si="0"/>
        <v>656335</v>
      </c>
      <c r="AE5">
        <v>655183</v>
      </c>
      <c r="AF5">
        <v>657256</v>
      </c>
      <c r="AG5">
        <f t="shared" si="1"/>
        <v>656219.5</v>
      </c>
    </row>
    <row r="6" spans="1:33" ht="16.5" thickBot="1" x14ac:dyDescent="0.4">
      <c r="A6" s="54"/>
      <c r="B6" s="56"/>
      <c r="C6" s="61" t="s">
        <v>1</v>
      </c>
      <c r="D6" s="62"/>
      <c r="E6" s="63"/>
      <c r="F6" s="23" t="s">
        <v>3</v>
      </c>
      <c r="G6" s="24"/>
      <c r="H6" s="25"/>
      <c r="I6" s="64" t="s">
        <v>4</v>
      </c>
      <c r="J6" s="65"/>
      <c r="K6" s="66"/>
      <c r="L6" s="56"/>
      <c r="M6" s="61" t="s">
        <v>1</v>
      </c>
      <c r="N6" s="62"/>
      <c r="O6" s="63"/>
      <c r="P6" s="23" t="s">
        <v>3</v>
      </c>
      <c r="Q6" s="24"/>
      <c r="R6" s="25"/>
      <c r="S6" s="64" t="s">
        <v>4</v>
      </c>
      <c r="T6" s="65"/>
      <c r="U6" s="66"/>
      <c r="V6" s="56"/>
      <c r="W6" s="59"/>
      <c r="Z6">
        <v>3054122</v>
      </c>
      <c r="AA6">
        <v>3049617</v>
      </c>
      <c r="AB6">
        <f>(Z6+AA6)/2</f>
        <v>3051869.5</v>
      </c>
      <c r="AE6">
        <v>3052844</v>
      </c>
      <c r="AF6">
        <v>3048425</v>
      </c>
      <c r="AG6">
        <f t="shared" si="1"/>
        <v>3050634.5</v>
      </c>
    </row>
    <row r="7" spans="1:33" ht="16.5" thickBot="1" x14ac:dyDescent="0.4">
      <c r="A7" s="54"/>
      <c r="B7" s="56"/>
      <c r="C7" s="11" t="s">
        <v>6</v>
      </c>
      <c r="D7" s="12"/>
      <c r="E7" s="13"/>
      <c r="F7" s="11" t="s">
        <v>182</v>
      </c>
      <c r="G7" s="12"/>
      <c r="H7" s="13"/>
      <c r="I7" s="11" t="s">
        <v>183</v>
      </c>
      <c r="J7" s="12"/>
      <c r="K7" s="13"/>
      <c r="L7" s="56"/>
      <c r="M7" s="11" t="s">
        <v>6</v>
      </c>
      <c r="N7" s="12"/>
      <c r="O7" s="13"/>
      <c r="P7" s="11" t="s">
        <v>184</v>
      </c>
      <c r="Q7" s="12"/>
      <c r="R7" s="13"/>
      <c r="S7" s="11" t="s">
        <v>185</v>
      </c>
      <c r="T7" s="12"/>
      <c r="U7" s="13"/>
      <c r="V7" s="56"/>
      <c r="W7" s="59"/>
    </row>
    <row r="8" spans="1:33" ht="16.5" thickBot="1" x14ac:dyDescent="0.4">
      <c r="A8" s="54"/>
      <c r="B8" s="56"/>
      <c r="C8" s="11" t="s">
        <v>7</v>
      </c>
      <c r="D8" s="12"/>
      <c r="E8" s="13"/>
      <c r="F8" s="11" t="s">
        <v>186</v>
      </c>
      <c r="G8" s="12"/>
      <c r="H8" s="13"/>
      <c r="I8" s="11" t="s">
        <v>187</v>
      </c>
      <c r="J8" s="12"/>
      <c r="K8" s="13"/>
      <c r="L8" s="56"/>
      <c r="M8" s="11" t="s">
        <v>7</v>
      </c>
      <c r="N8" s="12"/>
      <c r="O8" s="13"/>
      <c r="P8" s="11" t="s">
        <v>188</v>
      </c>
      <c r="Q8" s="12"/>
      <c r="R8" s="13"/>
      <c r="S8" s="11" t="s">
        <v>189</v>
      </c>
      <c r="T8" s="12"/>
      <c r="U8" s="13"/>
      <c r="V8" s="56"/>
      <c r="W8" s="59"/>
    </row>
    <row r="9" spans="1:33" ht="16.5" thickBot="1" x14ac:dyDescent="0.4">
      <c r="A9" s="54"/>
      <c r="B9" s="56"/>
      <c r="C9" s="11" t="s">
        <v>8</v>
      </c>
      <c r="D9" s="12"/>
      <c r="E9" s="13"/>
      <c r="F9" s="11" t="s">
        <v>190</v>
      </c>
      <c r="G9" s="12"/>
      <c r="H9" s="13"/>
      <c r="I9" s="11" t="s">
        <v>191</v>
      </c>
      <c r="J9" s="12"/>
      <c r="K9" s="13"/>
      <c r="L9" s="56"/>
      <c r="M9" s="11" t="s">
        <v>8</v>
      </c>
      <c r="N9" s="12"/>
      <c r="O9" s="13"/>
      <c r="P9" s="11" t="s">
        <v>192</v>
      </c>
      <c r="Q9" s="12"/>
      <c r="R9" s="13"/>
      <c r="S9" s="11" t="s">
        <v>193</v>
      </c>
      <c r="T9" s="12"/>
      <c r="U9" s="13"/>
      <c r="V9" s="56"/>
      <c r="W9" s="59"/>
      <c r="Z9">
        <v>820352</v>
      </c>
      <c r="AA9">
        <v>845208</v>
      </c>
      <c r="AB9">
        <f>(Z9+AA9)/2</f>
        <v>832780</v>
      </c>
      <c r="AE9">
        <v>415376</v>
      </c>
      <c r="AF9">
        <v>428396</v>
      </c>
      <c r="AG9">
        <f>(AE9+AF9)/2</f>
        <v>421886</v>
      </c>
    </row>
    <row r="10" spans="1:33" ht="16.5" thickBot="1" x14ac:dyDescent="0.4">
      <c r="A10" s="54"/>
      <c r="B10" s="56"/>
      <c r="C10" s="11" t="s">
        <v>9</v>
      </c>
      <c r="D10" s="12"/>
      <c r="E10" s="13"/>
      <c r="F10" s="11" t="s">
        <v>194</v>
      </c>
      <c r="G10" s="12"/>
      <c r="H10" s="13"/>
      <c r="I10" s="11" t="s">
        <v>195</v>
      </c>
      <c r="J10" s="12"/>
      <c r="K10" s="13"/>
      <c r="L10" s="56"/>
      <c r="M10" s="11" t="s">
        <v>9</v>
      </c>
      <c r="N10" s="12"/>
      <c r="O10" s="13"/>
      <c r="P10" s="11" t="s">
        <v>196</v>
      </c>
      <c r="Q10" s="12"/>
      <c r="R10" s="13"/>
      <c r="S10" s="11" t="s">
        <v>197</v>
      </c>
      <c r="T10" s="12"/>
      <c r="U10" s="13"/>
      <c r="V10" s="56"/>
      <c r="W10" s="59"/>
      <c r="Z10">
        <v>3853616</v>
      </c>
      <c r="AA10">
        <v>3924336</v>
      </c>
      <c r="AB10">
        <f t="shared" ref="AB10:AB13" si="2">(Z10+AA10)/2</f>
        <v>3888976</v>
      </c>
      <c r="AE10">
        <v>1960680</v>
      </c>
      <c r="AF10">
        <v>1997500</v>
      </c>
      <c r="AG10">
        <f t="shared" ref="AG10:AG13" si="3">(AE10+AF10)/2</f>
        <v>1979090</v>
      </c>
    </row>
    <row r="11" spans="1:33" ht="16.5" thickBot="1" x14ac:dyDescent="0.4">
      <c r="A11" s="54"/>
      <c r="B11" s="56"/>
      <c r="C11" s="11" t="s">
        <v>10</v>
      </c>
      <c r="D11" s="12"/>
      <c r="E11" s="13"/>
      <c r="F11" s="11" t="s">
        <v>198</v>
      </c>
      <c r="G11" s="12"/>
      <c r="H11" s="13"/>
      <c r="I11" s="11" t="s">
        <v>199</v>
      </c>
      <c r="J11" s="12"/>
      <c r="K11" s="13"/>
      <c r="L11" s="56"/>
      <c r="M11" s="11" t="s">
        <v>10</v>
      </c>
      <c r="N11" s="12"/>
      <c r="O11" s="13"/>
      <c r="P11" s="11" t="s">
        <v>200</v>
      </c>
      <c r="Q11" s="12"/>
      <c r="R11" s="13"/>
      <c r="S11" s="11" t="s">
        <v>201</v>
      </c>
      <c r="T11" s="12"/>
      <c r="U11" s="13"/>
      <c r="V11" s="56"/>
      <c r="W11" s="59"/>
      <c r="Z11">
        <v>7553728</v>
      </c>
      <c r="AA11">
        <v>7586280</v>
      </c>
      <c r="AB11">
        <f t="shared" si="2"/>
        <v>7570004</v>
      </c>
      <c r="AE11">
        <v>3846876</v>
      </c>
      <c r="AF11">
        <v>3864236</v>
      </c>
      <c r="AG11">
        <f t="shared" si="3"/>
        <v>3855556</v>
      </c>
    </row>
    <row r="12" spans="1:33" x14ac:dyDescent="0.35">
      <c r="A12" s="54"/>
      <c r="B12" s="56"/>
      <c r="C12" s="46"/>
      <c r="D12" s="46"/>
      <c r="E12" s="46"/>
      <c r="F12" s="46"/>
      <c r="G12" s="46"/>
      <c r="H12" s="46"/>
      <c r="I12" s="46"/>
      <c r="J12" s="46"/>
      <c r="K12" s="46"/>
      <c r="L12" s="56"/>
      <c r="M12" s="46"/>
      <c r="N12" s="46"/>
      <c r="O12" s="46"/>
      <c r="P12" s="46"/>
      <c r="Q12" s="46"/>
      <c r="R12" s="46"/>
      <c r="S12" s="46"/>
      <c r="T12" s="46"/>
      <c r="U12" s="46"/>
      <c r="V12" s="56"/>
      <c r="W12" s="59"/>
      <c r="Z12">
        <v>68149328</v>
      </c>
      <c r="AA12">
        <v>68368352</v>
      </c>
      <c r="AB12">
        <f t="shared" si="2"/>
        <v>68258840</v>
      </c>
      <c r="AE12">
        <v>34725900</v>
      </c>
      <c r="AF12">
        <v>34835408</v>
      </c>
      <c r="AG12">
        <f t="shared" si="3"/>
        <v>34780654</v>
      </c>
    </row>
    <row r="13" spans="1:33" ht="15" thickBot="1" x14ac:dyDescent="0.4">
      <c r="A13" s="55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60"/>
      <c r="Z13">
        <v>317628688</v>
      </c>
      <c r="AA13">
        <v>317160168</v>
      </c>
      <c r="AB13">
        <f t="shared" si="2"/>
        <v>317394428</v>
      </c>
      <c r="AE13">
        <v>161640768</v>
      </c>
      <c r="AF13">
        <v>161416996</v>
      </c>
      <c r="AG13">
        <f t="shared" si="3"/>
        <v>161528882</v>
      </c>
    </row>
    <row r="14" spans="1:33" ht="15" thickBot="1" x14ac:dyDescent="0.4"/>
    <row r="15" spans="1:33" x14ac:dyDescent="0.35">
      <c r="A15" s="48" t="s">
        <v>202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50"/>
      <c r="Z15">
        <v>1000</v>
      </c>
    </row>
    <row r="16" spans="1:33" x14ac:dyDescent="0.3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3"/>
      <c r="Z16">
        <v>5000</v>
      </c>
    </row>
    <row r="17" spans="1:26" x14ac:dyDescent="0.35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3"/>
      <c r="Z17">
        <v>10000</v>
      </c>
    </row>
    <row r="18" spans="1:26" x14ac:dyDescent="0.35">
      <c r="A18" s="54"/>
      <c r="B18" s="56"/>
      <c r="C18" s="57" t="s">
        <v>0</v>
      </c>
      <c r="D18" s="57"/>
      <c r="E18" s="57"/>
      <c r="F18" s="57"/>
      <c r="G18" s="57"/>
      <c r="H18" s="57"/>
      <c r="I18" s="57"/>
      <c r="J18" s="57"/>
      <c r="K18" s="57"/>
      <c r="L18" s="56"/>
      <c r="M18" s="57" t="s">
        <v>53</v>
      </c>
      <c r="N18" s="57"/>
      <c r="O18" s="57"/>
      <c r="P18" s="57"/>
      <c r="Q18" s="57"/>
      <c r="R18" s="57"/>
      <c r="S18" s="57"/>
      <c r="T18" s="57"/>
      <c r="U18" s="57"/>
      <c r="V18" s="56"/>
      <c r="W18" s="59"/>
      <c r="Z18">
        <v>100000</v>
      </c>
    </row>
    <row r="19" spans="1:26" ht="15" thickBot="1" x14ac:dyDescent="0.4">
      <c r="A19" s="54"/>
      <c r="B19" s="56"/>
      <c r="C19" s="58"/>
      <c r="D19" s="58"/>
      <c r="E19" s="58"/>
      <c r="F19" s="58"/>
      <c r="G19" s="58"/>
      <c r="H19" s="58"/>
      <c r="I19" s="58"/>
      <c r="J19" s="58"/>
      <c r="K19" s="58"/>
      <c r="L19" s="56"/>
      <c r="M19" s="58"/>
      <c r="N19" s="58"/>
      <c r="O19" s="58"/>
      <c r="P19" s="58"/>
      <c r="Q19" s="58"/>
      <c r="R19" s="58"/>
      <c r="S19" s="58"/>
      <c r="T19" s="58"/>
      <c r="U19" s="58"/>
      <c r="V19" s="56"/>
      <c r="W19" s="59"/>
      <c r="Z19">
        <v>500000</v>
      </c>
    </row>
    <row r="20" spans="1:26" ht="16.5" thickBot="1" x14ac:dyDescent="0.4">
      <c r="A20" s="54"/>
      <c r="B20" s="56"/>
      <c r="C20" s="61" t="s">
        <v>1</v>
      </c>
      <c r="D20" s="62"/>
      <c r="E20" s="63"/>
      <c r="F20" s="23" t="s">
        <v>3</v>
      </c>
      <c r="G20" s="24"/>
      <c r="H20" s="25"/>
      <c r="I20" s="64" t="s">
        <v>4</v>
      </c>
      <c r="J20" s="65"/>
      <c r="K20" s="66"/>
      <c r="L20" s="56"/>
      <c r="M20" s="61" t="s">
        <v>1</v>
      </c>
      <c r="N20" s="62"/>
      <c r="O20" s="63"/>
      <c r="P20" s="23" t="s">
        <v>3</v>
      </c>
      <c r="Q20" s="24"/>
      <c r="R20" s="25"/>
      <c r="S20" s="64" t="s">
        <v>4</v>
      </c>
      <c r="T20" s="65"/>
      <c r="U20" s="66"/>
      <c r="V20" s="56"/>
      <c r="W20" s="59"/>
    </row>
    <row r="21" spans="1:26" ht="16.5" thickBot="1" x14ac:dyDescent="0.4">
      <c r="A21" s="54"/>
      <c r="B21" s="56"/>
      <c r="C21" s="11" t="s">
        <v>6</v>
      </c>
      <c r="D21" s="12"/>
      <c r="E21" s="13"/>
      <c r="F21" s="11" t="s">
        <v>203</v>
      </c>
      <c r="G21" s="12"/>
      <c r="H21" s="13"/>
      <c r="I21" s="11" t="s">
        <v>204</v>
      </c>
      <c r="J21" s="12"/>
      <c r="K21" s="13"/>
      <c r="L21" s="56"/>
      <c r="M21" s="11" t="s">
        <v>6</v>
      </c>
      <c r="N21" s="12"/>
      <c r="O21" s="13"/>
      <c r="P21" s="11" t="s">
        <v>203</v>
      </c>
      <c r="Q21" s="12"/>
      <c r="R21" s="13"/>
      <c r="S21" s="11" t="s">
        <v>205</v>
      </c>
      <c r="T21" s="12"/>
      <c r="U21" s="13"/>
      <c r="V21" s="56"/>
      <c r="W21" s="59"/>
    </row>
    <row r="22" spans="1:26" ht="16.5" thickBot="1" x14ac:dyDescent="0.4">
      <c r="A22" s="54"/>
      <c r="B22" s="56"/>
      <c r="C22" s="11" t="s">
        <v>7</v>
      </c>
      <c r="D22" s="12"/>
      <c r="E22" s="13"/>
      <c r="F22" s="11" t="s">
        <v>206</v>
      </c>
      <c r="G22" s="12"/>
      <c r="H22" s="13"/>
      <c r="I22" s="11" t="s">
        <v>207</v>
      </c>
      <c r="J22" s="12"/>
      <c r="K22" s="13"/>
      <c r="L22" s="56"/>
      <c r="M22" s="11" t="s">
        <v>7</v>
      </c>
      <c r="N22" s="12"/>
      <c r="O22" s="13"/>
      <c r="P22" s="11" t="s">
        <v>208</v>
      </c>
      <c r="Q22" s="12"/>
      <c r="R22" s="13"/>
      <c r="S22" s="11" t="s">
        <v>209</v>
      </c>
      <c r="T22" s="12"/>
      <c r="U22" s="13"/>
      <c r="V22" s="56"/>
      <c r="W22" s="59"/>
    </row>
    <row r="23" spans="1:26" ht="16.5" thickBot="1" x14ac:dyDescent="0.4">
      <c r="A23" s="54"/>
      <c r="B23" s="56"/>
      <c r="C23" s="11" t="s">
        <v>8</v>
      </c>
      <c r="D23" s="12"/>
      <c r="E23" s="13"/>
      <c r="F23" s="11" t="s">
        <v>210</v>
      </c>
      <c r="G23" s="12"/>
      <c r="H23" s="13"/>
      <c r="I23" s="11" t="s">
        <v>211</v>
      </c>
      <c r="J23" s="12"/>
      <c r="K23" s="13"/>
      <c r="L23" s="56"/>
      <c r="M23" s="11" t="s">
        <v>8</v>
      </c>
      <c r="N23" s="12"/>
      <c r="O23" s="13"/>
      <c r="P23" s="11" t="s">
        <v>212</v>
      </c>
      <c r="Q23" s="12"/>
      <c r="R23" s="13"/>
      <c r="S23" s="11" t="s">
        <v>213</v>
      </c>
      <c r="T23" s="12"/>
      <c r="U23" s="13"/>
      <c r="V23" s="56"/>
      <c r="W23" s="59"/>
    </row>
    <row r="24" spans="1:26" ht="16.5" thickBot="1" x14ac:dyDescent="0.4">
      <c r="A24" s="54"/>
      <c r="B24" s="56"/>
      <c r="C24" s="11" t="s">
        <v>9</v>
      </c>
      <c r="D24" s="12"/>
      <c r="E24" s="13"/>
      <c r="F24" s="11" t="s">
        <v>214</v>
      </c>
      <c r="G24" s="12"/>
      <c r="H24" s="13"/>
      <c r="I24" s="11" t="s">
        <v>215</v>
      </c>
      <c r="J24" s="12"/>
      <c r="K24" s="13"/>
      <c r="L24" s="56"/>
      <c r="M24" s="11" t="s">
        <v>9</v>
      </c>
      <c r="N24" s="12"/>
      <c r="O24" s="13"/>
      <c r="P24" s="11" t="s">
        <v>216</v>
      </c>
      <c r="Q24" s="12"/>
      <c r="R24" s="13"/>
      <c r="S24" s="11" t="s">
        <v>217</v>
      </c>
      <c r="T24" s="12"/>
      <c r="U24" s="13"/>
      <c r="V24" s="56"/>
      <c r="W24" s="59"/>
    </row>
    <row r="25" spans="1:26" ht="16.5" thickBot="1" x14ac:dyDescent="0.4">
      <c r="A25" s="54"/>
      <c r="B25" s="56"/>
      <c r="C25" s="11" t="s">
        <v>10</v>
      </c>
      <c r="D25" s="12"/>
      <c r="E25" s="13"/>
      <c r="F25" s="11" t="s">
        <v>218</v>
      </c>
      <c r="G25" s="12"/>
      <c r="H25" s="13"/>
      <c r="I25" s="11" t="s">
        <v>219</v>
      </c>
      <c r="J25" s="12"/>
      <c r="K25" s="13"/>
      <c r="L25" s="56"/>
      <c r="M25" s="11" t="s">
        <v>10</v>
      </c>
      <c r="N25" s="12"/>
      <c r="O25" s="13"/>
      <c r="P25" s="11" t="s">
        <v>220</v>
      </c>
      <c r="Q25" s="12"/>
      <c r="R25" s="13"/>
      <c r="S25" s="11" t="s">
        <v>221</v>
      </c>
      <c r="T25" s="12"/>
      <c r="U25" s="13"/>
      <c r="V25" s="56"/>
      <c r="W25" s="59"/>
    </row>
    <row r="26" spans="1:26" x14ac:dyDescent="0.35">
      <c r="A26" s="54"/>
      <c r="B26" s="56"/>
      <c r="C26" s="46"/>
      <c r="D26" s="46"/>
      <c r="E26" s="46"/>
      <c r="F26" s="46"/>
      <c r="G26" s="46"/>
      <c r="H26" s="46"/>
      <c r="I26" s="46"/>
      <c r="J26" s="46"/>
      <c r="K26" s="46"/>
      <c r="L26" s="56"/>
      <c r="M26" s="46"/>
      <c r="N26" s="46"/>
      <c r="O26" s="46"/>
      <c r="P26" s="46"/>
      <c r="Q26" s="46"/>
      <c r="R26" s="46"/>
      <c r="S26" s="46"/>
      <c r="T26" s="46"/>
      <c r="U26" s="46"/>
      <c r="V26" s="56"/>
      <c r="W26" s="59"/>
    </row>
    <row r="27" spans="1:26" ht="15" thickBot="1" x14ac:dyDescent="0.4">
      <c r="A27" s="55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0"/>
    </row>
    <row r="28" spans="1:26" ht="15" thickBot="1" x14ac:dyDescent="0.4"/>
    <row r="29" spans="1:26" x14ac:dyDescent="0.35">
      <c r="A29" s="48" t="s">
        <v>223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0"/>
    </row>
    <row r="30" spans="1:26" x14ac:dyDescent="0.3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3"/>
    </row>
    <row r="31" spans="1:26" x14ac:dyDescent="0.35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3"/>
    </row>
    <row r="32" spans="1:26" x14ac:dyDescent="0.35">
      <c r="A32" s="54"/>
      <c r="B32" s="56"/>
      <c r="C32" s="57" t="s">
        <v>0</v>
      </c>
      <c r="D32" s="57"/>
      <c r="E32" s="57"/>
      <c r="F32" s="57"/>
      <c r="G32" s="57"/>
      <c r="H32" s="57"/>
      <c r="I32" s="57"/>
      <c r="J32" s="57"/>
      <c r="K32" s="57"/>
      <c r="L32" s="56"/>
      <c r="M32" s="57" t="s">
        <v>53</v>
      </c>
      <c r="N32" s="57"/>
      <c r="O32" s="57"/>
      <c r="P32" s="57"/>
      <c r="Q32" s="57"/>
      <c r="R32" s="57"/>
      <c r="S32" s="57"/>
      <c r="T32" s="57"/>
      <c r="U32" s="57"/>
      <c r="V32" s="56"/>
      <c r="W32" s="59"/>
    </row>
    <row r="33" spans="1:23" ht="15" thickBot="1" x14ac:dyDescent="0.4">
      <c r="A33" s="54"/>
      <c r="B33" s="56"/>
      <c r="C33" s="58"/>
      <c r="D33" s="58"/>
      <c r="E33" s="58"/>
      <c r="F33" s="58"/>
      <c r="G33" s="58"/>
      <c r="H33" s="58"/>
      <c r="I33" s="58"/>
      <c r="J33" s="58"/>
      <c r="K33" s="58"/>
      <c r="L33" s="56"/>
      <c r="M33" s="58"/>
      <c r="N33" s="58"/>
      <c r="O33" s="58"/>
      <c r="P33" s="58"/>
      <c r="Q33" s="58"/>
      <c r="R33" s="58"/>
      <c r="S33" s="58"/>
      <c r="T33" s="58"/>
      <c r="U33" s="58"/>
      <c r="V33" s="56"/>
      <c r="W33" s="59"/>
    </row>
    <row r="34" spans="1:23" ht="16.5" thickBot="1" x14ac:dyDescent="0.4">
      <c r="A34" s="54"/>
      <c r="B34" s="56"/>
      <c r="C34" s="61" t="s">
        <v>1</v>
      </c>
      <c r="D34" s="62"/>
      <c r="E34" s="63"/>
      <c r="F34" s="23" t="s">
        <v>3</v>
      </c>
      <c r="G34" s="24"/>
      <c r="H34" s="25"/>
      <c r="I34" s="64" t="s">
        <v>4</v>
      </c>
      <c r="J34" s="65"/>
      <c r="K34" s="66"/>
      <c r="L34" s="56"/>
      <c r="M34" s="61" t="s">
        <v>1</v>
      </c>
      <c r="N34" s="62"/>
      <c r="O34" s="63"/>
      <c r="P34" s="23" t="s">
        <v>3</v>
      </c>
      <c r="Q34" s="24"/>
      <c r="R34" s="25"/>
      <c r="S34" s="64" t="s">
        <v>4</v>
      </c>
      <c r="T34" s="65"/>
      <c r="U34" s="66"/>
      <c r="V34" s="56"/>
      <c r="W34" s="59"/>
    </row>
    <row r="35" spans="1:23" ht="16.5" thickBot="1" x14ac:dyDescent="0.4">
      <c r="A35" s="54"/>
      <c r="B35" s="56"/>
      <c r="C35" s="11" t="s">
        <v>6</v>
      </c>
      <c r="D35" s="12"/>
      <c r="E35" s="13"/>
      <c r="F35" s="11" t="s">
        <v>224</v>
      </c>
      <c r="G35" s="12"/>
      <c r="H35" s="13"/>
      <c r="I35" s="11" t="s">
        <v>233</v>
      </c>
      <c r="J35" s="12"/>
      <c r="K35" s="13"/>
      <c r="L35" s="56"/>
      <c r="M35" s="11" t="s">
        <v>6</v>
      </c>
      <c r="N35" s="12"/>
      <c r="O35" s="13"/>
      <c r="P35" s="11" t="s">
        <v>229</v>
      </c>
      <c r="Q35" s="12"/>
      <c r="R35" s="13"/>
      <c r="S35" s="11" t="s">
        <v>238</v>
      </c>
      <c r="T35" s="12"/>
      <c r="U35" s="13"/>
      <c r="V35" s="56"/>
      <c r="W35" s="59"/>
    </row>
    <row r="36" spans="1:23" ht="16.5" thickBot="1" x14ac:dyDescent="0.4">
      <c r="A36" s="54"/>
      <c r="B36" s="56"/>
      <c r="C36" s="11" t="s">
        <v>7</v>
      </c>
      <c r="D36" s="12"/>
      <c r="E36" s="13"/>
      <c r="F36" s="11" t="s">
        <v>225</v>
      </c>
      <c r="G36" s="12"/>
      <c r="H36" s="13"/>
      <c r="I36" s="11" t="s">
        <v>234</v>
      </c>
      <c r="J36" s="12"/>
      <c r="K36" s="13"/>
      <c r="L36" s="56"/>
      <c r="M36" s="11" t="s">
        <v>7</v>
      </c>
      <c r="N36" s="12"/>
      <c r="O36" s="13"/>
      <c r="P36" s="11" t="s">
        <v>230</v>
      </c>
      <c r="Q36" s="12"/>
      <c r="R36" s="13"/>
      <c r="S36" s="11" t="s">
        <v>239</v>
      </c>
      <c r="T36" s="12"/>
      <c r="U36" s="13"/>
      <c r="V36" s="56"/>
      <c r="W36" s="59"/>
    </row>
    <row r="37" spans="1:23" ht="16.5" thickBot="1" x14ac:dyDescent="0.4">
      <c r="A37" s="54"/>
      <c r="B37" s="56"/>
      <c r="C37" s="11" t="s">
        <v>8</v>
      </c>
      <c r="D37" s="12"/>
      <c r="E37" s="13"/>
      <c r="F37" s="11" t="s">
        <v>226</v>
      </c>
      <c r="G37" s="12"/>
      <c r="H37" s="13"/>
      <c r="I37" s="11" t="s">
        <v>235</v>
      </c>
      <c r="J37" s="12"/>
      <c r="K37" s="13"/>
      <c r="L37" s="56"/>
      <c r="M37" s="11" t="s">
        <v>8</v>
      </c>
      <c r="N37" s="12"/>
      <c r="O37" s="13"/>
      <c r="P37" s="11" t="s">
        <v>231</v>
      </c>
      <c r="Q37" s="12"/>
      <c r="R37" s="13"/>
      <c r="S37" s="11" t="s">
        <v>240</v>
      </c>
      <c r="T37" s="12"/>
      <c r="U37" s="13"/>
      <c r="V37" s="56"/>
      <c r="W37" s="59"/>
    </row>
    <row r="38" spans="1:23" ht="16.5" thickBot="1" x14ac:dyDescent="0.4">
      <c r="A38" s="54"/>
      <c r="B38" s="56"/>
      <c r="C38" s="11" t="s">
        <v>9</v>
      </c>
      <c r="D38" s="12"/>
      <c r="E38" s="13"/>
      <c r="F38" s="11" t="s">
        <v>227</v>
      </c>
      <c r="G38" s="12"/>
      <c r="H38" s="13"/>
      <c r="I38" s="11" t="s">
        <v>236</v>
      </c>
      <c r="J38" s="12"/>
      <c r="K38" s="13"/>
      <c r="L38" s="56"/>
      <c r="M38" s="11" t="s">
        <v>9</v>
      </c>
      <c r="N38" s="12"/>
      <c r="O38" s="13"/>
      <c r="P38" s="11">
        <v>656219.5</v>
      </c>
      <c r="Q38" s="12"/>
      <c r="R38" s="13"/>
      <c r="S38" s="11" t="s">
        <v>241</v>
      </c>
      <c r="T38" s="12"/>
      <c r="U38" s="13"/>
      <c r="V38" s="56"/>
      <c r="W38" s="59"/>
    </row>
    <row r="39" spans="1:23" ht="16.5" thickBot="1" x14ac:dyDescent="0.4">
      <c r="A39" s="54"/>
      <c r="B39" s="56"/>
      <c r="C39" s="11" t="s">
        <v>10</v>
      </c>
      <c r="D39" s="12"/>
      <c r="E39" s="13"/>
      <c r="F39" s="11" t="s">
        <v>228</v>
      </c>
      <c r="G39" s="12"/>
      <c r="H39" s="13"/>
      <c r="I39" s="11" t="s">
        <v>237</v>
      </c>
      <c r="J39" s="12"/>
      <c r="K39" s="13"/>
      <c r="L39" s="56"/>
      <c r="M39" s="11" t="s">
        <v>10</v>
      </c>
      <c r="N39" s="12"/>
      <c r="O39" s="13"/>
      <c r="P39" s="11" t="s">
        <v>232</v>
      </c>
      <c r="Q39" s="12"/>
      <c r="R39" s="13"/>
      <c r="S39" s="11" t="s">
        <v>242</v>
      </c>
      <c r="T39" s="12"/>
      <c r="U39" s="13"/>
      <c r="V39" s="56"/>
      <c r="W39" s="59"/>
    </row>
    <row r="40" spans="1:23" x14ac:dyDescent="0.35">
      <c r="A40" s="54"/>
      <c r="B40" s="56"/>
      <c r="C40" s="46"/>
      <c r="D40" s="46"/>
      <c r="E40" s="46"/>
      <c r="F40" s="46"/>
      <c r="G40" s="46"/>
      <c r="H40" s="46"/>
      <c r="I40" s="46"/>
      <c r="J40" s="46"/>
      <c r="K40" s="46"/>
      <c r="L40" s="56"/>
      <c r="M40" s="46"/>
      <c r="N40" s="46"/>
      <c r="O40" s="46"/>
      <c r="P40" s="46"/>
      <c r="Q40" s="46"/>
      <c r="R40" s="46"/>
      <c r="S40" s="46"/>
      <c r="T40" s="46"/>
      <c r="U40" s="46"/>
      <c r="V40" s="56"/>
      <c r="W40" s="59"/>
    </row>
    <row r="41" spans="1:23" ht="15" thickBot="1" x14ac:dyDescent="0.4">
      <c r="A41" s="55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60"/>
    </row>
  </sheetData>
  <mergeCells count="141">
    <mergeCell ref="I7:K7"/>
    <mergeCell ref="M7:O7"/>
    <mergeCell ref="P7:R7"/>
    <mergeCell ref="S7:U7"/>
    <mergeCell ref="S9:U9"/>
    <mergeCell ref="S8:U8"/>
    <mergeCell ref="A1:W3"/>
    <mergeCell ref="A4:A13"/>
    <mergeCell ref="B4:B12"/>
    <mergeCell ref="C4:K5"/>
    <mergeCell ref="L4:L12"/>
    <mergeCell ref="M4:U5"/>
    <mergeCell ref="V4:V12"/>
    <mergeCell ref="W4:W13"/>
    <mergeCell ref="C6:E6"/>
    <mergeCell ref="F6:H6"/>
    <mergeCell ref="I6:K6"/>
    <mergeCell ref="M6:O6"/>
    <mergeCell ref="P6:R6"/>
    <mergeCell ref="S6:U6"/>
    <mergeCell ref="C7:E7"/>
    <mergeCell ref="F7:H7"/>
    <mergeCell ref="C9:E9"/>
    <mergeCell ref="F9:H9"/>
    <mergeCell ref="I9:K9"/>
    <mergeCell ref="M9:O9"/>
    <mergeCell ref="P9:R9"/>
    <mergeCell ref="C8:E8"/>
    <mergeCell ref="F8:H8"/>
    <mergeCell ref="I8:K8"/>
    <mergeCell ref="M8:O8"/>
    <mergeCell ref="P8:R8"/>
    <mergeCell ref="S11:U11"/>
    <mergeCell ref="C10:E10"/>
    <mergeCell ref="F10:H10"/>
    <mergeCell ref="I10:K10"/>
    <mergeCell ref="M10:O10"/>
    <mergeCell ref="P10:R10"/>
    <mergeCell ref="S10:U10"/>
    <mergeCell ref="C11:E11"/>
    <mergeCell ref="F11:H11"/>
    <mergeCell ref="I11:K11"/>
    <mergeCell ref="M11:O11"/>
    <mergeCell ref="P11:R11"/>
    <mergeCell ref="C12:K12"/>
    <mergeCell ref="M12:U12"/>
    <mergeCell ref="B13:V13"/>
    <mergeCell ref="A15:W17"/>
    <mergeCell ref="A18:A27"/>
    <mergeCell ref="B18:B26"/>
    <mergeCell ref="C18:K19"/>
    <mergeCell ref="L18:L26"/>
    <mergeCell ref="M18:U19"/>
    <mergeCell ref="V18:V26"/>
    <mergeCell ref="W18:W27"/>
    <mergeCell ref="C20:E20"/>
    <mergeCell ref="F20:H20"/>
    <mergeCell ref="I20:K20"/>
    <mergeCell ref="M20:O20"/>
    <mergeCell ref="P20:R20"/>
    <mergeCell ref="S22:U22"/>
    <mergeCell ref="M24:O24"/>
    <mergeCell ref="P24:R24"/>
    <mergeCell ref="S20:U20"/>
    <mergeCell ref="C21:E21"/>
    <mergeCell ref="F21:H21"/>
    <mergeCell ref="I21:K21"/>
    <mergeCell ref="M21:O21"/>
    <mergeCell ref="P21:R21"/>
    <mergeCell ref="S21:U21"/>
    <mergeCell ref="C22:E22"/>
    <mergeCell ref="F22:H22"/>
    <mergeCell ref="I22:K22"/>
    <mergeCell ref="M22:O22"/>
    <mergeCell ref="P22:R22"/>
    <mergeCell ref="C26:K26"/>
    <mergeCell ref="M26:U26"/>
    <mergeCell ref="B27:V27"/>
    <mergeCell ref="C25:E25"/>
    <mergeCell ref="F25:H25"/>
    <mergeCell ref="I25:K25"/>
    <mergeCell ref="M25:O25"/>
    <mergeCell ref="P25:R25"/>
    <mergeCell ref="S25:U25"/>
    <mergeCell ref="S24:U24"/>
    <mergeCell ref="C23:E23"/>
    <mergeCell ref="F23:H23"/>
    <mergeCell ref="I23:K23"/>
    <mergeCell ref="M23:O23"/>
    <mergeCell ref="P23:R23"/>
    <mergeCell ref="S23:U23"/>
    <mergeCell ref="C24:E24"/>
    <mergeCell ref="F24:H24"/>
    <mergeCell ref="I24:K24"/>
    <mergeCell ref="A29:W31"/>
    <mergeCell ref="A32:A41"/>
    <mergeCell ref="B32:B40"/>
    <mergeCell ref="C32:K33"/>
    <mergeCell ref="L32:L40"/>
    <mergeCell ref="M32:U33"/>
    <mergeCell ref="V32:V40"/>
    <mergeCell ref="W32:W41"/>
    <mergeCell ref="C34:E34"/>
    <mergeCell ref="F34:H34"/>
    <mergeCell ref="I34:K34"/>
    <mergeCell ref="M34:O34"/>
    <mergeCell ref="P34:R34"/>
    <mergeCell ref="S34:U34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S37:U37"/>
    <mergeCell ref="C38:E38"/>
    <mergeCell ref="F38:H38"/>
    <mergeCell ref="I38:K38"/>
    <mergeCell ref="M38:O38"/>
    <mergeCell ref="P38:R38"/>
    <mergeCell ref="S38:U38"/>
    <mergeCell ref="C37:E37"/>
    <mergeCell ref="F37:H37"/>
    <mergeCell ref="I37:K37"/>
    <mergeCell ref="M37:O37"/>
    <mergeCell ref="P37:R37"/>
    <mergeCell ref="S39:U39"/>
    <mergeCell ref="C40:K40"/>
    <mergeCell ref="M40:U40"/>
    <mergeCell ref="B41:V41"/>
    <mergeCell ref="C39:E39"/>
    <mergeCell ref="F39:H39"/>
    <mergeCell ref="I39:K39"/>
    <mergeCell ref="M39:O39"/>
    <mergeCell ref="P39:R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 Length</vt:lpstr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Anastasis Zaxariou</dc:creator>
  <cp:lastModifiedBy>Anastasis Zaxariou</cp:lastModifiedBy>
  <dcterms:created xsi:type="dcterms:W3CDTF">2024-12-01T10:55:32Z</dcterms:created>
  <dcterms:modified xsi:type="dcterms:W3CDTF">2024-12-02T09:20:30Z</dcterms:modified>
</cp:coreProperties>
</file>